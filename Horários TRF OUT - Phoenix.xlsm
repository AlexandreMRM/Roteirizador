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EstaPastaDeTrabalho"/>
  <mc:AlternateContent xmlns:mc="http://schemas.openxmlformats.org/markup-compatibility/2006">
    <mc:Choice Requires="x15">
      <x15ac:absPath xmlns:x15ac="http://schemas.microsoft.com/office/spreadsheetml/2010/11/ac" url="/Users/marcelolira/Desktop/Roteirizador_TRF_OUT/"/>
    </mc:Choice>
  </mc:AlternateContent>
  <xr:revisionPtr revIDLastSave="0" documentId="13_ncr:1_{B9DAD386-CA6E-3143-A2E8-11919CA35FE8}" xr6:coauthVersionLast="47" xr6:coauthVersionMax="47" xr10:uidLastSave="{00000000-0000-0000-0000-000000000000}"/>
  <bookViews>
    <workbookView xWindow="0" yWindow="500" windowWidth="28800" windowHeight="15980" activeTab="5" xr2:uid="{00000000-000D-0000-FFFF-FFFF00000000}"/>
  </bookViews>
  <sheets>
    <sheet name="Regras" sheetId="10" r:id="rId1"/>
    <sheet name="Voos" sheetId="5" r:id="rId2"/>
    <sheet name="BD - Phoenix Bruto" sheetId="13" r:id="rId3"/>
    <sheet name="BD - Phoenix" sheetId="12" r:id="rId4"/>
    <sheet name="Layout Horarios" sheetId="11" r:id="rId5"/>
    <sheet name="Hoteis" sheetId="8" r:id="rId6"/>
  </sheets>
  <functionGroups builtInGroupCount="19"/>
  <definedNames>
    <definedName name="_xlnm._FilterDatabase" localSheetId="5" hidden="1">Hoteis!$A$1:$C$125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11" roundtripDataSignature="AMtx7mitUkA+guvcFuJXjVRjwNcpMYMI1w=="/>
    </ext>
  </extLst>
</workbook>
</file>

<file path=xl/calcChain.xml><?xml version="1.0" encoding="utf-8"?>
<calcChain xmlns="http://schemas.openxmlformats.org/spreadsheetml/2006/main">
  <c r="A6" i="10" l="1"/>
</calcChain>
</file>

<file path=xl/sharedStrings.xml><?xml version="1.0" encoding="utf-8"?>
<sst xmlns="http://schemas.openxmlformats.org/spreadsheetml/2006/main" count="1644" uniqueCount="346">
  <si>
    <t>CENTRO</t>
  </si>
  <si>
    <t>BESSA</t>
  </si>
  <si>
    <t>POUSADA VERDE MAR</t>
  </si>
  <si>
    <t>MANAÍRA PALACE RESIDENCE</t>
  </si>
  <si>
    <t>ISRAEL PRAIA FLAT TAMBAÚ</t>
  </si>
  <si>
    <t>VICTORY</t>
  </si>
  <si>
    <t>ANNAMAR</t>
  </si>
  <si>
    <t>POUSADA COSTERA</t>
  </si>
  <si>
    <t>FLAT MAR DO CABO BRANCO</t>
  </si>
  <si>
    <t>VAL ATLANTIC</t>
  </si>
  <si>
    <t>ALTIPLANO</t>
  </si>
  <si>
    <t>Juntar</t>
  </si>
  <si>
    <t>Horário</t>
  </si>
  <si>
    <t>Regular</t>
  </si>
  <si>
    <t>KASTEL</t>
  </si>
  <si>
    <t>ALTIPLANO HOTEL</t>
  </si>
  <si>
    <t>Voo</t>
  </si>
  <si>
    <t>Cliente</t>
  </si>
  <si>
    <t>Micro Região</t>
  </si>
  <si>
    <t>COSTA DO ATLANTICO</t>
  </si>
  <si>
    <t>POUSADA ATLANTICA</t>
  </si>
  <si>
    <t>POUSADA NASCER DO SOL</t>
  </si>
  <si>
    <t>LS HOTEL</t>
  </si>
  <si>
    <t>MANAIRA HOSTEL</t>
  </si>
  <si>
    <t>MARDISA FLAT RESIDENCE</t>
  </si>
  <si>
    <t xml:space="preserve">SLOW HOSTEL </t>
  </si>
  <si>
    <t>POUSADA XAMÃ</t>
  </si>
  <si>
    <t>ECO SUMMER FLAT</t>
  </si>
  <si>
    <t>POUSADA TAMBAU</t>
  </si>
  <si>
    <t>HOTEL DO CABO</t>
  </si>
  <si>
    <t>BRISAMAR (CABO BRANCO)</t>
  </si>
  <si>
    <t>LUXOR CABO BRANCO HOME SERVICE</t>
  </si>
  <si>
    <t>CONDOMINIO BLUE SUNSET</t>
  </si>
  <si>
    <t>POUSADA CABO BRANCO</t>
  </si>
  <si>
    <t>POUSADA TROPICAL BESSA</t>
  </si>
  <si>
    <t>LAGOA PARK (CENTRO)</t>
  </si>
  <si>
    <t>Obs</t>
  </si>
  <si>
    <t>Sequência</t>
  </si>
  <si>
    <t>CABO BRANCO</t>
  </si>
  <si>
    <t>TAMBAU</t>
  </si>
  <si>
    <t>MANAIRA</t>
  </si>
  <si>
    <t>Intervalo Inicial</t>
  </si>
  <si>
    <t>Max Hoteis</t>
  </si>
  <si>
    <t>Intervalo Hoteis Bairros Iguais</t>
  </si>
  <si>
    <t>Intervalo Hoteis Bairros Diferentes</t>
  </si>
  <si>
    <t>Intervalo entre Primeiro e Último Hotel</t>
  </si>
  <si>
    <t>Limite de Paxs pra aumentar 00:05</t>
  </si>
  <si>
    <t>Limite de Paxs Troca de Carro</t>
  </si>
  <si>
    <t>TAMBAU 2</t>
  </si>
  <si>
    <t>Intervalo Inicial Recife</t>
  </si>
  <si>
    <t>Ajuste Erro</t>
  </si>
  <si>
    <t>HOTEL DE TRANSITO DOS OFICIAIS</t>
  </si>
  <si>
    <t>TAMBAUZINHO</t>
  </si>
  <si>
    <t>MARINAS PRAIA FLAT</t>
  </si>
  <si>
    <t>ESCUNA</t>
  </si>
  <si>
    <t xml:space="preserve">ATLANTIS VARANDAS </t>
  </si>
  <si>
    <t>JARDINS DO ATLANTICO</t>
  </si>
  <si>
    <t>FLAT CABO BRANCO</t>
  </si>
  <si>
    <t>UNITY</t>
  </si>
  <si>
    <t>LAURA MAR FLAT</t>
  </si>
  <si>
    <t>SH BLUE SUITES</t>
  </si>
  <si>
    <t>ANNAMAR PREMIUM</t>
  </si>
  <si>
    <t>HOSTEL E POUSADA SOL E MAR</t>
  </si>
  <si>
    <t>HOSTEL ORLA DE TAMBAU</t>
  </si>
  <si>
    <t>SOLAR DO ATLANTICO</t>
  </si>
  <si>
    <t>POUSADA ACONCHEGO</t>
  </si>
  <si>
    <t>HOTEL POUSADA KAIROS</t>
  </si>
  <si>
    <t>PORTUGAL FLAT</t>
  </si>
  <si>
    <t>POUSADA SETE MARES</t>
  </si>
  <si>
    <t>POUSADA STYLLUS</t>
  </si>
  <si>
    <t>POUSADA SOL NASCENTE</t>
  </si>
  <si>
    <t>TERRAZAS FLAT</t>
  </si>
  <si>
    <t>NA PRAIA HOSTEL</t>
  </si>
  <si>
    <t>GUEST MANAIRA</t>
  </si>
  <si>
    <t>THEMAMTIC POUSADA</t>
  </si>
  <si>
    <t>MANAIRA FLAT</t>
  </si>
  <si>
    <t>BEIRA LITORAL POUSADA</t>
  </si>
  <si>
    <t>BESSA GOLDEN FLATS</t>
  </si>
  <si>
    <t>PARADISE BEACH</t>
  </si>
  <si>
    <t>POUSADA BOA A BEÇA</t>
  </si>
  <si>
    <t>FLAT ATLANTICO NORTE</t>
  </si>
  <si>
    <t>Paxs</t>
  </si>
  <si>
    <t>Hotel</t>
  </si>
  <si>
    <t xml:space="preserve">TAMBAU </t>
  </si>
  <si>
    <t>ORIENTAL HOTEL - ALTIPLANO</t>
  </si>
  <si>
    <t>HOTEL BRISA DO MAR</t>
  </si>
  <si>
    <t>JAMPA MAR POUSADA</t>
  </si>
  <si>
    <t>Código</t>
  </si>
  <si>
    <t>Modo</t>
  </si>
  <si>
    <t>Tipo do Serviço</t>
  </si>
  <si>
    <t>Serviço</t>
  </si>
  <si>
    <t>Horário de Voo</t>
  </si>
  <si>
    <t>Horário de Apr.</t>
  </si>
  <si>
    <t>Estabelecimento de Destino</t>
  </si>
  <si>
    <t>Parceiro</t>
  </si>
  <si>
    <t>Telefone</t>
  </si>
  <si>
    <t>Adt/Chd/Inf</t>
  </si>
  <si>
    <t>Adicional</t>
  </si>
  <si>
    <t>Veículo</t>
  </si>
  <si>
    <t>Guia</t>
  </si>
  <si>
    <t>Motorista</t>
  </si>
  <si>
    <t>Vendedor</t>
  </si>
  <si>
    <t>OUT</t>
  </si>
  <si>
    <t>HOTÉIS JOÃO PESSOA / AEROPORTO JOÃO PESSOA</t>
  </si>
  <si>
    <t>AEROPORTO JOÃO PESSOA ( - )</t>
  </si>
  <si>
    <t>2/0/0</t>
  </si>
  <si>
    <t>-</t>
  </si>
  <si>
    <t>LAGUNA PRAIA HOTEL ( - )</t>
  </si>
  <si>
    <t>NORD EASY GREEN SUNSET ( - )</t>
  </si>
  <si>
    <t>HPLUS ( - )</t>
  </si>
  <si>
    <t>ARAM BEACH &amp; CONVENTION ( - )</t>
  </si>
  <si>
    <t>ATLÂNTICO PRAIA ( - )</t>
  </si>
  <si>
    <t>HARDMAN PRAIA ( - )</t>
  </si>
  <si>
    <t>Adt</t>
  </si>
  <si>
    <t>Chd</t>
  </si>
  <si>
    <t>Inf</t>
  </si>
  <si>
    <t>NORD EASY ONDAS DO ATLANTICO ( - )</t>
  </si>
  <si>
    <t>NOBILE SUÍTES TAMBAÚ ( - )</t>
  </si>
  <si>
    <t>QUALITY SUITES ( - )</t>
  </si>
  <si>
    <t>NORD LUXXOR CABO BRANCO (SKYLER) ( - )</t>
  </si>
  <si>
    <t>CORAIS DE TAMBAU ( - )</t>
  </si>
  <si>
    <t>TAMBAÚ BEACH ( - )</t>
  </si>
  <si>
    <t>CAIÇARA ( - )</t>
  </si>
  <si>
    <t>Intervalo Hoteis Pitimbu</t>
  </si>
  <si>
    <t>Intervalo Erro</t>
  </si>
  <si>
    <t>Intervalo Campina Grande</t>
  </si>
  <si>
    <t>Hotel 1</t>
  </si>
  <si>
    <t>Hotel 2</t>
  </si>
  <si>
    <t>Hotel 3</t>
  </si>
  <si>
    <t>Hotel 4</t>
  </si>
  <si>
    <t>Hotel 5</t>
  </si>
  <si>
    <t>Hotel 6</t>
  </si>
  <si>
    <t>Hotel 7</t>
  </si>
  <si>
    <t>Hotel 8</t>
  </si>
  <si>
    <t>Hotel 9</t>
  </si>
  <si>
    <t>Hotel 10</t>
  </si>
  <si>
    <t>Hotel 11</t>
  </si>
  <si>
    <t>Hotel 12</t>
  </si>
  <si>
    <t>Hotel 13</t>
  </si>
  <si>
    <t>Paxs Total</t>
  </si>
  <si>
    <t>BESSA BEACH HOTEL ( - )</t>
  </si>
  <si>
    <t>HAPPY HOTEL MANAÍRA ( - )</t>
  </si>
  <si>
    <t>REDE ANDRADE SOLMAR ( - )</t>
  </si>
  <si>
    <t>AMBASSADOR FLAT ( - )</t>
  </si>
  <si>
    <t>VILLAGE PREMIUM ( - )</t>
  </si>
  <si>
    <t>HOTEL BOI BUMBÁ TAMBAÚ ( - )</t>
  </si>
  <si>
    <t>3/0/0</t>
  </si>
  <si>
    <t>1/0/0</t>
  </si>
  <si>
    <t>LA - 3465</t>
  </si>
  <si>
    <t>G3 - 1633</t>
  </si>
  <si>
    <t>VILLAGE CONFORT ( - )</t>
  </si>
  <si>
    <t>CONDE</t>
  </si>
  <si>
    <t>CAMPINA GRANDE</t>
  </si>
  <si>
    <t>VIAGENS CVC</t>
  </si>
  <si>
    <t>LA - 3463</t>
  </si>
  <si>
    <t>G3 - 2019</t>
  </si>
  <si>
    <t>5/0/0</t>
  </si>
  <si>
    <t>FRT OPERADORA(BRASIL)</t>
  </si>
  <si>
    <t>G3 - 2103</t>
  </si>
  <si>
    <t>DIVERSA VIAGENS E TURISMO</t>
  </si>
  <si>
    <t>Estabelecimento de Origem</t>
  </si>
  <si>
    <t>AZUL VIAGENS</t>
  </si>
  <si>
    <t>Privativo por Veículo</t>
  </si>
  <si>
    <t>AD - 2736</t>
  </si>
  <si>
    <t>G3 - 1635</t>
  </si>
  <si>
    <t>G3 - 9043</t>
  </si>
  <si>
    <t>LA - 3601</t>
  </si>
  <si>
    <t>Sequência Hotel</t>
  </si>
  <si>
    <t>Menor Horário de Voo</t>
  </si>
  <si>
    <t>JPA-017734</t>
  </si>
  <si>
    <t>JOSE AIRTON DE MELO ()</t>
  </si>
  <si>
    <t>JPA-013496</t>
  </si>
  <si>
    <t>CARLA DIANA NOGUEIRA ()</t>
  </si>
  <si>
    <t>G3 - 0001</t>
  </si>
  <si>
    <t>JPA-012293</t>
  </si>
  <si>
    <t>ANA PAULA SILVA ()</t>
  </si>
  <si>
    <t>JPA-013638</t>
  </si>
  <si>
    <t>CLEISON BONFIM ()</t>
  </si>
  <si>
    <t>CATIVA OPERADORA</t>
  </si>
  <si>
    <t>JPA-014051</t>
  </si>
  <si>
    <t>CELIA REGINA FARIA ()</t>
  </si>
  <si>
    <t>+55 19 98171-4485</t>
  </si>
  <si>
    <t>Observação: VOO CONFIRMADO VIA WPP RESERVAS +55 19 98171-4485</t>
  </si>
  <si>
    <t>JPA-014170</t>
  </si>
  <si>
    <t>CIRLENE ROSA DONEDA PEREIRA ()</t>
  </si>
  <si>
    <t>TREND</t>
  </si>
  <si>
    <t>JPA-015386</t>
  </si>
  <si>
    <t>BRUNA TIMBOLA ()</t>
  </si>
  <si>
    <t>JPA-015389</t>
  </si>
  <si>
    <t>Haydee Lizeyka Puosso Mustaf ()</t>
  </si>
  <si>
    <t>Observação: INFORMAÇÕES DE DATA E VOO PASSADO VIA WHATSAAP +55 18 99614-7389</t>
  </si>
  <si>
    <t>JPA-018962</t>
  </si>
  <si>
    <t>MARIA BARBOSA ()</t>
  </si>
  <si>
    <t>JPA-016818</t>
  </si>
  <si>
    <t>José Rivelli ()</t>
  </si>
  <si>
    <t>DECOLAR (NACIONAL)</t>
  </si>
  <si>
    <t>4/0/0</t>
  </si>
  <si>
    <t>Observação: *** PRIVATIVO ***</t>
  </si>
  <si>
    <t>JPA-009644</t>
  </si>
  <si>
    <t>GENECI VARGAS DOS SANTOS ()</t>
  </si>
  <si>
    <t>LA - 3496</t>
  </si>
  <si>
    <t>JPA-013539</t>
  </si>
  <si>
    <t>ARTHUR ARAUJO DE OLIVEIRA ()</t>
  </si>
  <si>
    <t>Observação: CLD NAO ESCALAR - AGUARDANDO INFORMAÇÃO DA OPERADORA 09/08 RC</t>
  </si>
  <si>
    <t>JPA-013473</t>
  </si>
  <si>
    <t>GEMA BRUTTI ()</t>
  </si>
  <si>
    <t>JPA-013475</t>
  </si>
  <si>
    <t>IVETTE MARIA ROCKEMBACH ()</t>
  </si>
  <si>
    <t>JPA-013477</t>
  </si>
  <si>
    <t>VERA MARIA DA SILVA ()</t>
  </si>
  <si>
    <t>JPA-014168</t>
  </si>
  <si>
    <t>FERNANDA SIQUEIRA ()</t>
  </si>
  <si>
    <t>AD - 4069</t>
  </si>
  <si>
    <t>JPA-014169</t>
  </si>
  <si>
    <t>LUCIANA DONZELLI ()</t>
  </si>
  <si>
    <t>JPA-013525</t>
  </si>
  <si>
    <t>HERBERT LEVI FREITAS MOURAO ()</t>
  </si>
  <si>
    <t>G3 - 2133</t>
  </si>
  <si>
    <t>JPA-013530</t>
  </si>
  <si>
    <t>ROSANA DA ROCHA ()</t>
  </si>
  <si>
    <t>JPA-013479</t>
  </si>
  <si>
    <t>JENITO CORNELI ()</t>
  </si>
  <si>
    <t>Observação: ATENÇÃO GUIA - ANIVERSÁRIO DOS PAX - CANTAR PARABÉNS NO ÔNIBUS JENITO CORNELI - 06/08/1946 NILSA CORNELI - 10/08/1953</t>
  </si>
  <si>
    <t>JPA-013515</t>
  </si>
  <si>
    <t>SILVANIA CARELLO ()</t>
  </si>
  <si>
    <t>JPA-013640</t>
  </si>
  <si>
    <t>ROSIMEIRE RUIZ RIGOLE ()</t>
  </si>
  <si>
    <t>19 9 98191-6671</t>
  </si>
  <si>
    <t>Observação: 19 9 98191-6671</t>
  </si>
  <si>
    <t>JPA-014232</t>
  </si>
  <si>
    <t>VILSON ANTONIO FIORENTIN ()</t>
  </si>
  <si>
    <t>JPA-013642</t>
  </si>
  <si>
    <t>ROSENI SANTOS ()</t>
  </si>
  <si>
    <t>JPA-017729</t>
  </si>
  <si>
    <t>JANE BUGNOTTO ()</t>
  </si>
  <si>
    <t>JPA-012039</t>
  </si>
  <si>
    <t>LOURDES ROSALEN ()</t>
  </si>
  <si>
    <t>JPA-013654</t>
  </si>
  <si>
    <t>MARCELO VICENTE DA SILVA ()</t>
  </si>
  <si>
    <t>JPA-013655</t>
  </si>
  <si>
    <t>MARIA DILEA ROCHA RESENDE ()</t>
  </si>
  <si>
    <t>JPA-017732</t>
  </si>
  <si>
    <t>FERNANDA FERNANDES COSTA CONCEICAO ()</t>
  </si>
  <si>
    <t>(11)997316610</t>
  </si>
  <si>
    <t>JPA-013657</t>
  </si>
  <si>
    <t>MARIA STURM ()</t>
  </si>
  <si>
    <t>JPA-007245</t>
  </si>
  <si>
    <t>BATISTA DUARTE/JAZEL ()</t>
  </si>
  <si>
    <t>Observação: ATENÇÃO! CONFIRMAR DATA DE OUT COM PAX, A AGENTE PASSOU QUE ELA FICA 5 MESES NA CIDADE, CONFIRMAR COM A PAX!!!!VERIFICAR COM RESERVAS ANTES DE ESCALAR!</t>
  </si>
  <si>
    <t>JPA-013220</t>
  </si>
  <si>
    <t>HASLEY MENDES ()</t>
  </si>
  <si>
    <t>JPA-013522</t>
  </si>
  <si>
    <t>NUBIA SARDINHA ()</t>
  </si>
  <si>
    <t>JPA-013646</t>
  </si>
  <si>
    <t>SUELI APARECIDA RIBEIRO ()</t>
  </si>
  <si>
    <t>JPA-013715</t>
  </si>
  <si>
    <t>CACILDA LIMA ()</t>
  </si>
  <si>
    <t>JPA-018013</t>
  </si>
  <si>
    <t>JANET APARECIDA BELTRAME GONCALVES ()</t>
  </si>
  <si>
    <t>JPA-018819</t>
  </si>
  <si>
    <t>ANTONIO DONOLA ()</t>
  </si>
  <si>
    <t>JPA-018830</t>
  </si>
  <si>
    <t>CARLOS ROBERTO BICELLI ()</t>
  </si>
  <si>
    <t>JPA-018838</t>
  </si>
  <si>
    <t>FRANCISCO TRAUNMULLER ()</t>
  </si>
  <si>
    <t>JPA-019172</t>
  </si>
  <si>
    <t>Adriana Menoncin Conte ()</t>
  </si>
  <si>
    <t>Observação: (45) 9880-34454</t>
  </si>
  <si>
    <t>Privativo | G3 - 1635 | JPA-016818</t>
  </si>
  <si>
    <t>G3 - 1635 + LA - 3496</t>
  </si>
  <si>
    <t>AD - 4069 + G3 - 2133 + G3 - 9043</t>
  </si>
  <si>
    <t>G3 - 2103 + LA - 3601</t>
  </si>
  <si>
    <t>Sugestão  1 | LA - 3465 + G3 - 1633</t>
  </si>
  <si>
    <t>LA - 3465 + G3 - 1633</t>
  </si>
  <si>
    <t>OK</t>
  </si>
  <si>
    <t>BA´RA HOTEL</t>
  </si>
  <si>
    <t>XENIUS</t>
  </si>
  <si>
    <t>AMBASSADOR FLAT</t>
  </si>
  <si>
    <t>NORD LUXXOR CABO BRANCO (SKYLER)</t>
  </si>
  <si>
    <t>HPLUS</t>
  </si>
  <si>
    <t>NORD EASY ONDAS DO ATLANTICO</t>
  </si>
  <si>
    <t>LITTORAL CABO BRANCO</t>
  </si>
  <si>
    <t>LITTORAL GOLD FLAT</t>
  </si>
  <si>
    <t>NETUANAH PRAIA HOTEL</t>
  </si>
  <si>
    <t>SESC CABO BRANCO</t>
  </si>
  <si>
    <t>HOTEL DO MAR CABO BRANCO</t>
  </si>
  <si>
    <t>IBIS</t>
  </si>
  <si>
    <t>NORD EASY GREEN SUNSET</t>
  </si>
  <si>
    <t>CABO BRANCO ATLANTICO</t>
  </si>
  <si>
    <t>LITTORAL TAMBAU FLAT</t>
  </si>
  <si>
    <t>VILLAGE PREMIUM</t>
  </si>
  <si>
    <t>HOTEL BOI BUMBÁ TAMBAÚ</t>
  </si>
  <si>
    <t>QUALITY SUITES</t>
  </si>
  <si>
    <t>POUSADA BOI BUMBÁ PRAIA</t>
  </si>
  <si>
    <t>SOLAR TAMBAU RESIDENCE</t>
  </si>
  <si>
    <t>NORD LUXXOR TAMBAU (SAPUCAIA)</t>
  </si>
  <si>
    <t>CORAIS DE TAMBAU</t>
  </si>
  <si>
    <t>NOBILE SUÍTES TAMBAÚ</t>
  </si>
  <si>
    <t>LITTORAL EXPRESS</t>
  </si>
  <si>
    <t>MANOS ROYAL</t>
  </si>
  <si>
    <t>TAMBAÚ BEACH</t>
  </si>
  <si>
    <t>CONDOMINIO LUXXOR TAMBAU</t>
  </si>
  <si>
    <t>HOTEL DO MAR TAMBAU</t>
  </si>
  <si>
    <t>ARAM BEACH &amp; CONVENTION</t>
  </si>
  <si>
    <t>SMART HOTEL</t>
  </si>
  <si>
    <t>CAIÇARA</t>
  </si>
  <si>
    <t>POUSADA TAMBAÚ FAMILLY</t>
  </si>
  <si>
    <t>HOTEL FILIPEIA TAMBAU</t>
  </si>
  <si>
    <t>NORD EASY CONNECT</t>
  </si>
  <si>
    <t>POUSADA DOS ANJOS</t>
  </si>
  <si>
    <t>ANJOS PRAIA HOTEL</t>
  </si>
  <si>
    <t>VERDEGREEN HOTEL</t>
  </si>
  <si>
    <t>HARDMAN PRAIA</t>
  </si>
  <si>
    <t>HOTEL ARPOAR</t>
  </si>
  <si>
    <t>HOTEL MANAIRA</t>
  </si>
  <si>
    <t>HOTEL NORD ONE</t>
  </si>
  <si>
    <t>VILLAGE CONFORT</t>
  </si>
  <si>
    <t>NUMAR HOTEL (ANTIGO ECO HOTEL)</t>
  </si>
  <si>
    <t>OCEANA HOTEL SPA</t>
  </si>
  <si>
    <t>BESSA BEACH HOTEL</t>
  </si>
  <si>
    <t>GUARANY (CENTRO)</t>
  </si>
  <si>
    <t>JR HOTEL (CENTRO)</t>
  </si>
  <si>
    <t>VILLAGE CONFORT (CAMPINA GRANDE)</t>
  </si>
  <si>
    <t>Hotel Intercity Campina Grande Citymix</t>
  </si>
  <si>
    <t>SERRANO</t>
  </si>
  <si>
    <t>SEM HOTEL (CAMPINA GRANDE)</t>
  </si>
  <si>
    <t>SLAVIERO (Campina Grande)</t>
  </si>
  <si>
    <t>HOTEL DO VALE CAMPINA GRANDE</t>
  </si>
  <si>
    <t>HOTEL MAIS 1</t>
  </si>
  <si>
    <t>GARDEN (CAMPINA GRANDE)</t>
  </si>
  <si>
    <t>Est Origem</t>
  </si>
  <si>
    <t xml:space="preserve">HOTEL PRAIA DO BESSA </t>
  </si>
  <si>
    <t xml:space="preserve">REDE ANDRADE SOLMAR </t>
  </si>
  <si>
    <t xml:space="preserve">HAPPY HOTEL MANAÍRA </t>
  </si>
  <si>
    <t xml:space="preserve">INFINITY CABO BRANCO </t>
  </si>
  <si>
    <t xml:space="preserve">ATLÂNTICO PRAIA </t>
  </si>
  <si>
    <t>NOBILE INN CABO BRANCO</t>
  </si>
  <si>
    <t xml:space="preserve">PLACE 2 YOU HOTEL </t>
  </si>
  <si>
    <t xml:space="preserve">LAGUNA PRAIA HOTEL </t>
  </si>
  <si>
    <t>HOLANDA´S PRIME</t>
  </si>
  <si>
    <t xml:space="preserve">POUSADA GOLFINHO I </t>
  </si>
  <si>
    <t xml:space="preserve">SEM HOTEL </t>
  </si>
  <si>
    <t>SEM HOTEL</t>
  </si>
  <si>
    <t>HCM - HOTEL CORAIS DE MANAIRA</t>
  </si>
  <si>
    <t xml:space="preserve">TAMANDARE HOTEL POUSADA </t>
  </si>
  <si>
    <t xml:space="preserve">ASENZA BEACH RESORT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</si>
</sst>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4" x14ac:knownFonts="1">
    <font>
      <sz val="11"/>
      <color rgb="FF000000"/>
      <name val="Calibri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333333"/>
      <name val="Verdana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color rgb="FF000000"/>
      <name val="Calibri"/>
      <family val="2"/>
    </font>
    <font>
      <sz val="11"/>
      <color rgb="FF000000"/>
      <name val="Calibri"/>
      <family val="2"/>
    </font>
    <font>
      <sz val="13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0F1FF"/>
        <bgColor indexed="64"/>
      </patternFill>
    </fill>
    <fill>
      <patternFill patternType="solid">
        <fgColor rgb="FFF9FCFF"/>
        <bgColor indexed="64"/>
      </patternFill>
    </fill>
    <fill>
      <patternFill patternType="solid">
        <fgColor rgb="FFFFF0F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9" fontId="0" fillId="0" borderId="0" xfId="0" applyNumberFormat="1" applyAlignment="1">
      <alignment horizontal="center"/>
    </xf>
    <xf numFmtId="0" fontId="3" fillId="2" borderId="2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2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" fontId="0" fillId="0" borderId="0" xfId="0" applyNumberForma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5" fillId="4" borderId="0" xfId="1" applyFill="1" applyAlignment="1">
      <alignment wrapText="1"/>
    </xf>
    <xf numFmtId="20" fontId="7" fillId="0" borderId="0" xfId="0" applyNumberFormat="1" applyFont="1" applyAlignment="1">
      <alignment wrapText="1"/>
    </xf>
    <xf numFmtId="0" fontId="6" fillId="0" borderId="0" xfId="0" applyFont="1" applyAlignment="1">
      <alignment wrapText="1"/>
    </xf>
    <xf numFmtId="0" fontId="0" fillId="0" borderId="0" xfId="0" applyAlignment="1">
      <alignment wrapText="1"/>
    </xf>
    <xf numFmtId="0" fontId="5" fillId="5" borderId="0" xfId="1" applyFill="1" applyAlignment="1">
      <alignment wrapText="1"/>
    </xf>
    <xf numFmtId="49" fontId="6" fillId="0" borderId="0" xfId="0" applyNumberFormat="1" applyFont="1" applyAlignment="1">
      <alignment horizontal="center" vertical="center" wrapText="1"/>
    </xf>
    <xf numFmtId="49" fontId="7" fillId="0" borderId="0" xfId="0" applyNumberFormat="1" applyFont="1" applyAlignment="1">
      <alignment wrapText="1"/>
    </xf>
    <xf numFmtId="0" fontId="8" fillId="2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wrapText="1"/>
    </xf>
    <xf numFmtId="0" fontId="7" fillId="0" borderId="0" xfId="0" applyFont="1" applyAlignment="1">
      <alignment wrapText="1"/>
    </xf>
    <xf numFmtId="0" fontId="12" fillId="0" borderId="0" xfId="0" applyFont="1" applyAlignment="1">
      <alignment horizontal="center"/>
    </xf>
    <xf numFmtId="14" fontId="7" fillId="0" borderId="0" xfId="0" applyNumberFormat="1" applyFont="1" applyAlignment="1">
      <alignment wrapText="1"/>
    </xf>
    <xf numFmtId="49" fontId="0" fillId="0" borderId="0" xfId="0" applyNumberFormat="1"/>
    <xf numFmtId="19" fontId="0" fillId="0" borderId="0" xfId="0" applyNumberFormat="1"/>
    <xf numFmtId="0" fontId="13" fillId="6" borderId="0" xfId="0" applyFont="1" applyFill="1" applyAlignment="1">
      <alignment horizontal="left" wrapText="1" indent="1"/>
    </xf>
    <xf numFmtId="0" fontId="7" fillId="0" borderId="0" xfId="0" applyFont="1" applyAlignment="1">
      <alignment wrapText="1"/>
    </xf>
    <xf numFmtId="14" fontId="13" fillId="6" borderId="0" xfId="0" applyNumberFormat="1" applyFont="1" applyFill="1" applyAlignment="1">
      <alignment horizontal="left" wrapText="1" inden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0</xdr:row>
          <xdr:rowOff>101600</xdr:rowOff>
        </xdr:from>
        <xdr:to>
          <xdr:col>5</xdr:col>
          <xdr:colOff>635000</xdr:colOff>
          <xdr:row>4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2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Roteirizar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18</xdr:row>
          <xdr:rowOff>127000</xdr:rowOff>
        </xdr:from>
        <xdr:to>
          <xdr:col>2</xdr:col>
          <xdr:colOff>698500</xdr:colOff>
          <xdr:row>22</xdr:row>
          <xdr:rowOff>114300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2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Roteirizar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file:///new-reserve/finish-view-list/13473" TargetMode="External"/><Relationship Id="rId18" Type="http://schemas.openxmlformats.org/officeDocument/2006/relationships/hyperlink" Target="file:///new-reserve/finish-view-list/13525" TargetMode="External"/><Relationship Id="rId26" Type="http://schemas.openxmlformats.org/officeDocument/2006/relationships/hyperlink" Target="file:///new-reserve/finish-view-list/12039" TargetMode="External"/><Relationship Id="rId39" Type="http://schemas.openxmlformats.org/officeDocument/2006/relationships/hyperlink" Target="file:///new-reserve/finish-view-list/18838" TargetMode="External"/><Relationship Id="rId21" Type="http://schemas.openxmlformats.org/officeDocument/2006/relationships/hyperlink" Target="file:///new-reserve/finish-view-list/13515" TargetMode="External"/><Relationship Id="rId34" Type="http://schemas.openxmlformats.org/officeDocument/2006/relationships/hyperlink" Target="file:///new-reserve/finish-view-list/13646" TargetMode="External"/><Relationship Id="rId7" Type="http://schemas.openxmlformats.org/officeDocument/2006/relationships/hyperlink" Target="file:///new-reserve/finish-view-list/15386" TargetMode="External"/><Relationship Id="rId12" Type="http://schemas.openxmlformats.org/officeDocument/2006/relationships/hyperlink" Target="file:///new-reserve/finish-view-list/13539" TargetMode="External"/><Relationship Id="rId17" Type="http://schemas.openxmlformats.org/officeDocument/2006/relationships/hyperlink" Target="file:///new-reserve/finish-view-list/14169" TargetMode="External"/><Relationship Id="rId25" Type="http://schemas.openxmlformats.org/officeDocument/2006/relationships/hyperlink" Target="file:///new-reserve/finish-view-list/17729" TargetMode="External"/><Relationship Id="rId33" Type="http://schemas.openxmlformats.org/officeDocument/2006/relationships/hyperlink" Target="file:///new-reserve/finish-view-list/13522" TargetMode="External"/><Relationship Id="rId38" Type="http://schemas.openxmlformats.org/officeDocument/2006/relationships/hyperlink" Target="file:///new-reserve/finish-view-list/18830" TargetMode="External"/><Relationship Id="rId2" Type="http://schemas.openxmlformats.org/officeDocument/2006/relationships/hyperlink" Target="file:///new-reserve/finish-view-list/13496" TargetMode="External"/><Relationship Id="rId16" Type="http://schemas.openxmlformats.org/officeDocument/2006/relationships/hyperlink" Target="file:///new-reserve/finish-view-list/14168" TargetMode="External"/><Relationship Id="rId20" Type="http://schemas.openxmlformats.org/officeDocument/2006/relationships/hyperlink" Target="file:///new-reserve/finish-view-list/13479" TargetMode="External"/><Relationship Id="rId29" Type="http://schemas.openxmlformats.org/officeDocument/2006/relationships/hyperlink" Target="file:///new-reserve/finish-view-list/17732" TargetMode="External"/><Relationship Id="rId1" Type="http://schemas.openxmlformats.org/officeDocument/2006/relationships/hyperlink" Target="file:///new-reserve/finish-view-list/17734" TargetMode="External"/><Relationship Id="rId6" Type="http://schemas.openxmlformats.org/officeDocument/2006/relationships/hyperlink" Target="file:///new-reserve/finish-view-list/14170" TargetMode="External"/><Relationship Id="rId11" Type="http://schemas.openxmlformats.org/officeDocument/2006/relationships/hyperlink" Target="file:///new-reserve/finish-view-list/9644" TargetMode="External"/><Relationship Id="rId24" Type="http://schemas.openxmlformats.org/officeDocument/2006/relationships/hyperlink" Target="file:///new-reserve/finish-view-list/13642" TargetMode="External"/><Relationship Id="rId32" Type="http://schemas.openxmlformats.org/officeDocument/2006/relationships/hyperlink" Target="file:///new-reserve/finish-view-list/13220" TargetMode="External"/><Relationship Id="rId37" Type="http://schemas.openxmlformats.org/officeDocument/2006/relationships/hyperlink" Target="file:///new-reserve/finish-view-list/18819" TargetMode="External"/><Relationship Id="rId40" Type="http://schemas.openxmlformats.org/officeDocument/2006/relationships/hyperlink" Target="file:///new-reserve/finish-view-list/19172" TargetMode="External"/><Relationship Id="rId5" Type="http://schemas.openxmlformats.org/officeDocument/2006/relationships/hyperlink" Target="file:///new-reserve/finish-view-list/14051" TargetMode="External"/><Relationship Id="rId15" Type="http://schemas.openxmlformats.org/officeDocument/2006/relationships/hyperlink" Target="file:///new-reserve/finish-view-list/13477" TargetMode="External"/><Relationship Id="rId23" Type="http://schemas.openxmlformats.org/officeDocument/2006/relationships/hyperlink" Target="file:///new-reserve/finish-view-list/14232" TargetMode="External"/><Relationship Id="rId28" Type="http://schemas.openxmlformats.org/officeDocument/2006/relationships/hyperlink" Target="file:///new-reserve/finish-view-list/13655" TargetMode="External"/><Relationship Id="rId36" Type="http://schemas.openxmlformats.org/officeDocument/2006/relationships/hyperlink" Target="file:///new-reserve/finish-view-list/18013" TargetMode="External"/><Relationship Id="rId10" Type="http://schemas.openxmlformats.org/officeDocument/2006/relationships/hyperlink" Target="file:///new-reserve/finish-view-list/16818" TargetMode="External"/><Relationship Id="rId19" Type="http://schemas.openxmlformats.org/officeDocument/2006/relationships/hyperlink" Target="file:///new-reserve/finish-view-list/13530" TargetMode="External"/><Relationship Id="rId31" Type="http://schemas.openxmlformats.org/officeDocument/2006/relationships/hyperlink" Target="file:///new-reserve/finish-view-list/7245" TargetMode="External"/><Relationship Id="rId4" Type="http://schemas.openxmlformats.org/officeDocument/2006/relationships/hyperlink" Target="file:///new-reserve/finish-view-list/13638" TargetMode="External"/><Relationship Id="rId9" Type="http://schemas.openxmlformats.org/officeDocument/2006/relationships/hyperlink" Target="file:///new-reserve/finish-view-list/18962" TargetMode="External"/><Relationship Id="rId14" Type="http://schemas.openxmlformats.org/officeDocument/2006/relationships/hyperlink" Target="file:///new-reserve/finish-view-list/13475" TargetMode="External"/><Relationship Id="rId22" Type="http://schemas.openxmlformats.org/officeDocument/2006/relationships/hyperlink" Target="file:///new-reserve/finish-view-list/13640" TargetMode="External"/><Relationship Id="rId27" Type="http://schemas.openxmlformats.org/officeDocument/2006/relationships/hyperlink" Target="file:///new-reserve/finish-view-list/13654" TargetMode="External"/><Relationship Id="rId30" Type="http://schemas.openxmlformats.org/officeDocument/2006/relationships/hyperlink" Target="file:///new-reserve/finish-view-list/13657" TargetMode="External"/><Relationship Id="rId35" Type="http://schemas.openxmlformats.org/officeDocument/2006/relationships/hyperlink" Target="file:///new-reserve/finish-view-list/13715" TargetMode="External"/><Relationship Id="rId8" Type="http://schemas.openxmlformats.org/officeDocument/2006/relationships/hyperlink" Target="file:///new-reserve/finish-view-list/15389" TargetMode="External"/><Relationship Id="rId3" Type="http://schemas.openxmlformats.org/officeDocument/2006/relationships/hyperlink" Target="file:///new-reserve/finish-view-list/12293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57DA8-639E-2749-BBBB-5502D2CCE264}">
  <sheetPr codeName="Planilha9"/>
  <dimension ref="A1:F13"/>
  <sheetViews>
    <sheetView showGridLines="0" zoomScale="150" workbookViewId="0">
      <selection activeCell="B8" sqref="B8"/>
    </sheetView>
  </sheetViews>
  <sheetFormatPr baseColWidth="10" defaultColWidth="68" defaultRowHeight="15" x14ac:dyDescent="0.2"/>
  <cols>
    <col min="1" max="1" width="46.6640625" style="2" bestFit="1" customWidth="1"/>
    <col min="2" max="2" width="5.6640625" style="2" bestFit="1" customWidth="1"/>
    <col min="3" max="3" width="7.6640625" style="2" customWidth="1"/>
    <col min="4" max="5" width="9.1640625" style="2" customWidth="1"/>
    <col min="6" max="6" width="10.6640625" style="2" customWidth="1"/>
    <col min="7" max="16384" width="68" style="2"/>
  </cols>
  <sheetData>
    <row r="1" spans="1:6" ht="17" x14ac:dyDescent="0.2">
      <c r="A1" s="7" t="s">
        <v>41</v>
      </c>
      <c r="B1" s="3">
        <v>0.14583333333333334</v>
      </c>
      <c r="C1" s="5" t="s">
        <v>274</v>
      </c>
      <c r="D1" s="5"/>
      <c r="E1" s="5"/>
      <c r="F1" s="5"/>
    </row>
    <row r="2" spans="1:6" ht="17" x14ac:dyDescent="0.2">
      <c r="A2" s="7" t="s">
        <v>43</v>
      </c>
      <c r="B2" s="3">
        <v>3.472222222222222E-3</v>
      </c>
      <c r="C2" s="5" t="s">
        <v>274</v>
      </c>
    </row>
    <row r="3" spans="1:6" ht="17" x14ac:dyDescent="0.2">
      <c r="A3" s="7" t="s">
        <v>44</v>
      </c>
      <c r="B3" s="3">
        <v>6.9444444444444441E-3</v>
      </c>
      <c r="C3" s="5" t="s">
        <v>274</v>
      </c>
    </row>
    <row r="4" spans="1:6" ht="17" x14ac:dyDescent="0.2">
      <c r="A4" s="7" t="s">
        <v>42</v>
      </c>
      <c r="B4" s="4">
        <v>8</v>
      </c>
      <c r="C4" s="5" t="s">
        <v>274</v>
      </c>
    </row>
    <row r="5" spans="1:6" ht="17" x14ac:dyDescent="0.2">
      <c r="A5" s="7" t="s">
        <v>45</v>
      </c>
      <c r="B5" s="3">
        <v>3.125E-2</v>
      </c>
      <c r="C5" s="5" t="s">
        <v>274</v>
      </c>
    </row>
    <row r="6" spans="1:6" ht="17" x14ac:dyDescent="0.2">
      <c r="A6" s="7" t="str">
        <f>"+ de " &amp; B7 &amp; " paxs"</f>
        <v>+ de 18 paxs</v>
      </c>
      <c r="B6" s="3">
        <v>3.472222222222222E-3</v>
      </c>
      <c r="C6" s="5" t="s">
        <v>106</v>
      </c>
    </row>
    <row r="7" spans="1:6" ht="17" x14ac:dyDescent="0.2">
      <c r="A7" s="7" t="s">
        <v>46</v>
      </c>
      <c r="B7" s="4">
        <v>18</v>
      </c>
      <c r="C7" s="5" t="s">
        <v>106</v>
      </c>
    </row>
    <row r="8" spans="1:6" ht="17" x14ac:dyDescent="0.2">
      <c r="A8" s="7" t="s">
        <v>47</v>
      </c>
      <c r="B8" s="2">
        <v>46</v>
      </c>
      <c r="C8" s="5" t="s">
        <v>274</v>
      </c>
    </row>
    <row r="9" spans="1:6" ht="17" x14ac:dyDescent="0.2">
      <c r="A9" s="7" t="s">
        <v>49</v>
      </c>
      <c r="B9" s="3">
        <v>8.3333333333333329E-2</v>
      </c>
      <c r="C9" s="5" t="s">
        <v>274</v>
      </c>
    </row>
    <row r="10" spans="1:6" ht="17" x14ac:dyDescent="0.2">
      <c r="A10" s="7" t="s">
        <v>124</v>
      </c>
      <c r="B10" s="3">
        <v>0.99930555555555556</v>
      </c>
    </row>
    <row r="11" spans="1:6" ht="17" x14ac:dyDescent="0.2">
      <c r="A11" s="7" t="s">
        <v>50</v>
      </c>
      <c r="B11" s="3">
        <v>6.9444444444444447E-4</v>
      </c>
    </row>
    <row r="12" spans="1:6" ht="17" x14ac:dyDescent="0.2">
      <c r="A12" s="7" t="s">
        <v>123</v>
      </c>
      <c r="B12" s="3">
        <v>4.1666666666666664E-2</v>
      </c>
      <c r="C12" s="5" t="s">
        <v>274</v>
      </c>
    </row>
    <row r="13" spans="1:6" ht="17" x14ac:dyDescent="0.2">
      <c r="A13" s="7" t="s">
        <v>125</v>
      </c>
      <c r="B13" s="3">
        <v>8.3333333333333329E-2</v>
      </c>
      <c r="C13" s="5" t="s">
        <v>274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A7AAC-5758-1B48-BE97-1851437CE265}">
  <sheetPr codeName="Planilha5"/>
  <dimension ref="A1:E14"/>
  <sheetViews>
    <sheetView showGridLines="0" zoomScale="329" workbookViewId="0">
      <selection activeCell="E7" sqref="E7"/>
    </sheetView>
  </sheetViews>
  <sheetFormatPr baseColWidth="10" defaultRowHeight="15" x14ac:dyDescent="0.2"/>
  <cols>
    <col min="1" max="1" width="8.5" style="1" bestFit="1" customWidth="1"/>
    <col min="2" max="2" width="7.5" style="1" bestFit="1" customWidth="1"/>
    <col min="3" max="3" width="6.1640625" style="1" bestFit="1" customWidth="1"/>
    <col min="4" max="16384" width="10.83203125" style="1"/>
  </cols>
  <sheetData>
    <row r="1" spans="1:5" ht="16" x14ac:dyDescent="0.2">
      <c r="A1" s="11" t="s">
        <v>16</v>
      </c>
      <c r="B1" s="11" t="s">
        <v>12</v>
      </c>
      <c r="C1" s="11" t="s">
        <v>11</v>
      </c>
    </row>
    <row r="2" spans="1:5" x14ac:dyDescent="0.2">
      <c r="A2" s="28" t="s">
        <v>212</v>
      </c>
      <c r="B2" s="19">
        <v>0.48958333333333331</v>
      </c>
      <c r="C2" s="29">
        <v>1</v>
      </c>
    </row>
    <row r="3" spans="1:5" x14ac:dyDescent="0.2">
      <c r="A3" s="28" t="s">
        <v>217</v>
      </c>
      <c r="B3" s="19">
        <v>0.51388888888888884</v>
      </c>
      <c r="C3" s="29">
        <v>1</v>
      </c>
    </row>
    <row r="4" spans="1:5" x14ac:dyDescent="0.2">
      <c r="A4" s="28" t="s">
        <v>165</v>
      </c>
      <c r="B4" s="19">
        <v>0.52430555555555558</v>
      </c>
      <c r="C4" s="29">
        <v>1</v>
      </c>
    </row>
    <row r="5" spans="1:5" x14ac:dyDescent="0.2">
      <c r="A5" s="28"/>
      <c r="B5" s="19"/>
      <c r="C5" s="29"/>
    </row>
    <row r="6" spans="1:5" x14ac:dyDescent="0.2">
      <c r="A6" s="28"/>
      <c r="B6" s="19"/>
      <c r="C6" s="29"/>
    </row>
    <row r="7" spans="1:5" x14ac:dyDescent="0.2">
      <c r="A7" s="28"/>
      <c r="B7" s="19"/>
    </row>
    <row r="8" spans="1:5" x14ac:dyDescent="0.2">
      <c r="A8" s="28"/>
      <c r="B8" s="19"/>
      <c r="E8" s="12"/>
    </row>
    <row r="9" spans="1:5" x14ac:dyDescent="0.2">
      <c r="A9" s="28"/>
      <c r="B9" s="19"/>
      <c r="E9" s="12"/>
    </row>
    <row r="10" spans="1:5" x14ac:dyDescent="0.2">
      <c r="A10" s="28"/>
      <c r="B10" s="19"/>
      <c r="E10" s="12"/>
    </row>
    <row r="11" spans="1:5" x14ac:dyDescent="0.2">
      <c r="B11" s="12"/>
      <c r="E11" s="12"/>
    </row>
    <row r="12" spans="1:5" x14ac:dyDescent="0.2">
      <c r="B12" s="12"/>
      <c r="E12" s="12"/>
    </row>
    <row r="13" spans="1:5" x14ac:dyDescent="0.2">
      <c r="B13" s="12"/>
      <c r="E13" s="12"/>
    </row>
    <row r="14" spans="1:5" x14ac:dyDescent="0.2">
      <c r="E14" s="12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EstaPastaDeTrabalho.fazer_horarios_out">
                <anchor moveWithCells="1" sizeWithCells="1">
                  <from>
                    <xdr:col>3</xdr:col>
                    <xdr:colOff>723900</xdr:colOff>
                    <xdr:row>0</xdr:row>
                    <xdr:rowOff>101600</xdr:rowOff>
                  </from>
                  <to>
                    <xdr:col>5</xdr:col>
                    <xdr:colOff>635000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BAA3C-54E7-1D49-8262-CC2AAFB21433}">
  <sheetPr codeName="Planilha6"/>
  <dimension ref="A1:S52"/>
  <sheetViews>
    <sheetView topLeftCell="C21" zoomScale="133" zoomScaleNormal="70" workbookViewId="0">
      <selection activeCell="G28" activeCellId="2" sqref="G25:H25 G26:H26 G28:H28"/>
    </sheetView>
  </sheetViews>
  <sheetFormatPr baseColWidth="10" defaultColWidth="8.83203125" defaultRowHeight="15" x14ac:dyDescent="0.2"/>
  <cols>
    <col min="1" max="1" width="10.5" bestFit="1" customWidth="1"/>
    <col min="2" max="2" width="14.6640625" bestFit="1" customWidth="1"/>
    <col min="3" max="3" width="11.5" bestFit="1" customWidth="1"/>
    <col min="4" max="4" width="35.33203125" bestFit="1" customWidth="1"/>
    <col min="5" max="5" width="32.5" bestFit="1" customWidth="1"/>
    <col min="6" max="6" width="14" bestFit="1" customWidth="1"/>
    <col min="7" max="7" width="7.5" bestFit="1" customWidth="1"/>
    <col min="8" max="8" width="11.33203125" bestFit="1" customWidth="1"/>
    <col min="9" max="9" width="11.5" bestFit="1" customWidth="1"/>
    <col min="10" max="10" width="31.5" bestFit="1" customWidth="1"/>
    <col min="11" max="11" width="22.1640625" bestFit="1" customWidth="1"/>
    <col min="12" max="12" width="20.6640625" bestFit="1" customWidth="1"/>
    <col min="13" max="13" width="9.33203125" bestFit="1" customWidth="1"/>
    <col min="14" max="14" width="7.83203125" bestFit="1" customWidth="1"/>
    <col min="15" max="15" width="6.33203125" bestFit="1" customWidth="1"/>
    <col min="16" max="16" width="4.33203125" bestFit="1" customWidth="1"/>
    <col min="17" max="17" width="7.6640625" bestFit="1" customWidth="1"/>
    <col min="18" max="18" width="7.5" bestFit="1" customWidth="1"/>
  </cols>
  <sheetData>
    <row r="1" spans="1:19" ht="30" x14ac:dyDescent="0.2">
      <c r="A1" s="17" t="s">
        <v>87</v>
      </c>
      <c r="B1" s="17" t="s">
        <v>88</v>
      </c>
      <c r="C1" s="17" t="s">
        <v>89</v>
      </c>
      <c r="D1" s="17" t="s">
        <v>90</v>
      </c>
      <c r="E1" s="17" t="s">
        <v>17</v>
      </c>
      <c r="F1" s="17" t="s">
        <v>95</v>
      </c>
      <c r="G1" s="17" t="s">
        <v>16</v>
      </c>
      <c r="H1" s="17" t="s">
        <v>91</v>
      </c>
      <c r="I1" s="17" t="s">
        <v>92</v>
      </c>
      <c r="J1" s="17" t="s">
        <v>160</v>
      </c>
      <c r="K1" s="17" t="s">
        <v>93</v>
      </c>
      <c r="L1" s="17" t="s">
        <v>94</v>
      </c>
      <c r="M1" s="17" t="s">
        <v>96</v>
      </c>
      <c r="N1" s="17" t="s">
        <v>97</v>
      </c>
      <c r="O1" s="17" t="s">
        <v>98</v>
      </c>
      <c r="P1" s="17" t="s">
        <v>99</v>
      </c>
      <c r="Q1" s="17" t="s">
        <v>100</v>
      </c>
      <c r="R1" s="17" t="s">
        <v>101</v>
      </c>
    </row>
    <row r="2" spans="1:19" ht="24" customHeight="1" x14ac:dyDescent="0.2">
      <c r="A2" s="33" t="s">
        <v>106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19" ht="30" x14ac:dyDescent="0.2">
      <c r="A3" s="18" t="s">
        <v>169</v>
      </c>
      <c r="B3" s="28" t="s">
        <v>13</v>
      </c>
      <c r="C3" s="28" t="s">
        <v>102</v>
      </c>
      <c r="D3" s="28" t="s">
        <v>103</v>
      </c>
      <c r="E3" s="28" t="s">
        <v>170</v>
      </c>
      <c r="F3" s="21"/>
      <c r="G3" s="28" t="s">
        <v>155</v>
      </c>
      <c r="H3" s="19">
        <v>0.76041666666666663</v>
      </c>
      <c r="I3" s="19">
        <v>0.61458333333333337</v>
      </c>
      <c r="J3" s="28" t="s">
        <v>112</v>
      </c>
      <c r="K3" s="28" t="s">
        <v>104</v>
      </c>
      <c r="L3" s="28" t="s">
        <v>153</v>
      </c>
      <c r="M3" s="28" t="s">
        <v>105</v>
      </c>
      <c r="N3" s="20"/>
      <c r="O3" s="28" t="s">
        <v>106</v>
      </c>
      <c r="P3" s="28" t="s">
        <v>106</v>
      </c>
      <c r="Q3" s="28" t="s">
        <v>106</v>
      </c>
      <c r="R3" s="28" t="s">
        <v>106</v>
      </c>
    </row>
    <row r="4" spans="1:19" ht="18" customHeight="1" x14ac:dyDescent="0.2">
      <c r="A4" s="35">
        <v>45517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</row>
    <row r="5" spans="1:19" ht="30" x14ac:dyDescent="0.2">
      <c r="A5" s="22" t="s">
        <v>171</v>
      </c>
      <c r="B5" s="28" t="s">
        <v>13</v>
      </c>
      <c r="C5" s="28" t="s">
        <v>102</v>
      </c>
      <c r="D5" s="28" t="s">
        <v>103</v>
      </c>
      <c r="E5" s="28" t="s">
        <v>172</v>
      </c>
      <c r="F5" s="28">
        <v>61982709592</v>
      </c>
      <c r="G5" s="28" t="s">
        <v>173</v>
      </c>
      <c r="H5" s="19">
        <v>0</v>
      </c>
      <c r="I5" s="19">
        <v>0.85416666666666663</v>
      </c>
      <c r="J5" s="28" t="s">
        <v>117</v>
      </c>
      <c r="K5" s="28" t="s">
        <v>104</v>
      </c>
      <c r="L5" s="28" t="s">
        <v>153</v>
      </c>
      <c r="M5" s="28" t="s">
        <v>105</v>
      </c>
      <c r="N5" s="20"/>
      <c r="O5" s="28" t="s">
        <v>106</v>
      </c>
      <c r="P5" s="28" t="s">
        <v>106</v>
      </c>
      <c r="Q5" s="28" t="s">
        <v>106</v>
      </c>
      <c r="R5" s="28" t="s">
        <v>106</v>
      </c>
    </row>
    <row r="6" spans="1:19" ht="30" x14ac:dyDescent="0.2">
      <c r="A6" s="22" t="s">
        <v>174</v>
      </c>
      <c r="B6" s="28" t="s">
        <v>13</v>
      </c>
      <c r="C6" s="28" t="s">
        <v>102</v>
      </c>
      <c r="D6" s="28" t="s">
        <v>103</v>
      </c>
      <c r="E6" s="28" t="s">
        <v>175</v>
      </c>
      <c r="F6" s="28">
        <v>19993356460</v>
      </c>
      <c r="G6" s="28" t="s">
        <v>163</v>
      </c>
      <c r="H6" s="19">
        <v>9.7222222222222224E-2</v>
      </c>
      <c r="I6" s="19">
        <v>0.95138888888888884</v>
      </c>
      <c r="J6" s="28" t="s">
        <v>143</v>
      </c>
      <c r="K6" s="28" t="s">
        <v>104</v>
      </c>
      <c r="L6" s="28" t="s">
        <v>161</v>
      </c>
      <c r="M6" s="28" t="s">
        <v>147</v>
      </c>
      <c r="N6" s="20"/>
      <c r="O6" s="28" t="s">
        <v>106</v>
      </c>
      <c r="P6" s="28" t="s">
        <v>106</v>
      </c>
      <c r="Q6" s="28" t="s">
        <v>106</v>
      </c>
      <c r="R6" s="28" t="s">
        <v>106</v>
      </c>
    </row>
    <row r="7" spans="1:19" ht="30" x14ac:dyDescent="0.2">
      <c r="A7" s="18" t="s">
        <v>176</v>
      </c>
      <c r="B7" s="28" t="s">
        <v>13</v>
      </c>
      <c r="C7" s="28" t="s">
        <v>102</v>
      </c>
      <c r="D7" s="28" t="s">
        <v>103</v>
      </c>
      <c r="E7" s="28" t="s">
        <v>177</v>
      </c>
      <c r="F7" s="21"/>
      <c r="G7" s="28" t="s">
        <v>163</v>
      </c>
      <c r="H7" s="19">
        <v>9.7222222222222224E-2</v>
      </c>
      <c r="I7" s="19">
        <v>0.95138888888888884</v>
      </c>
      <c r="J7" s="28" t="s">
        <v>108</v>
      </c>
      <c r="K7" s="28" t="s">
        <v>104</v>
      </c>
      <c r="L7" s="28" t="s">
        <v>178</v>
      </c>
      <c r="M7" s="28" t="s">
        <v>105</v>
      </c>
      <c r="N7" s="20"/>
      <c r="O7" s="28" t="s">
        <v>106</v>
      </c>
      <c r="P7" s="28" t="s">
        <v>106</v>
      </c>
      <c r="Q7" s="28" t="s">
        <v>106</v>
      </c>
      <c r="R7" s="28" t="s">
        <v>106</v>
      </c>
    </row>
    <row r="8" spans="1:19" ht="30" x14ac:dyDescent="0.2">
      <c r="A8" s="22" t="s">
        <v>179</v>
      </c>
      <c r="B8" s="28" t="s">
        <v>13</v>
      </c>
      <c r="C8" s="28" t="s">
        <v>102</v>
      </c>
      <c r="D8" s="28" t="s">
        <v>103</v>
      </c>
      <c r="E8" s="28" t="s">
        <v>180</v>
      </c>
      <c r="F8" s="28" t="s">
        <v>181</v>
      </c>
      <c r="G8" s="28" t="s">
        <v>163</v>
      </c>
      <c r="H8" s="19">
        <v>9.7222222222222224E-2</v>
      </c>
      <c r="I8" s="19">
        <v>0.95138888888888884</v>
      </c>
      <c r="J8" s="28" t="s">
        <v>108</v>
      </c>
      <c r="K8" s="28" t="s">
        <v>104</v>
      </c>
      <c r="L8" s="28" t="s">
        <v>153</v>
      </c>
      <c r="M8" s="28" t="s">
        <v>147</v>
      </c>
      <c r="N8" s="20"/>
      <c r="O8" s="28" t="s">
        <v>106</v>
      </c>
      <c r="P8" s="28" t="s">
        <v>106</v>
      </c>
      <c r="Q8" s="28" t="s">
        <v>106</v>
      </c>
      <c r="R8" s="28" t="s">
        <v>106</v>
      </c>
    </row>
    <row r="9" spans="1:19" x14ac:dyDescent="0.2">
      <c r="A9" s="34" t="s">
        <v>182</v>
      </c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21"/>
    </row>
    <row r="10" spans="1:19" ht="30" x14ac:dyDescent="0.2">
      <c r="A10" s="18" t="s">
        <v>183</v>
      </c>
      <c r="B10" s="28" t="s">
        <v>13</v>
      </c>
      <c r="C10" s="28" t="s">
        <v>102</v>
      </c>
      <c r="D10" s="28" t="s">
        <v>103</v>
      </c>
      <c r="E10" s="28" t="s">
        <v>184</v>
      </c>
      <c r="F10" s="28">
        <v>45991010207</v>
      </c>
      <c r="G10" s="28" t="s">
        <v>163</v>
      </c>
      <c r="H10" s="19">
        <v>9.7222222222222224E-2</v>
      </c>
      <c r="I10" s="19">
        <v>0.95138888888888884</v>
      </c>
      <c r="J10" s="28" t="s">
        <v>111</v>
      </c>
      <c r="K10" s="28" t="s">
        <v>104</v>
      </c>
      <c r="L10" s="28" t="s">
        <v>185</v>
      </c>
      <c r="M10" s="28" t="s">
        <v>156</v>
      </c>
      <c r="N10" s="20"/>
      <c r="O10" s="28" t="s">
        <v>106</v>
      </c>
      <c r="P10" s="28" t="s">
        <v>106</v>
      </c>
      <c r="Q10" s="28" t="s">
        <v>106</v>
      </c>
      <c r="R10" s="28" t="s">
        <v>106</v>
      </c>
    </row>
    <row r="11" spans="1:19" ht="30" x14ac:dyDescent="0.2">
      <c r="A11" s="22" t="s">
        <v>186</v>
      </c>
      <c r="B11" s="28" t="s">
        <v>13</v>
      </c>
      <c r="C11" s="28" t="s">
        <v>102</v>
      </c>
      <c r="D11" s="28" t="s">
        <v>103</v>
      </c>
      <c r="E11" s="28" t="s">
        <v>187</v>
      </c>
      <c r="F11" s="28">
        <v>4532421632</v>
      </c>
      <c r="G11" s="28" t="s">
        <v>163</v>
      </c>
      <c r="H11" s="19">
        <v>9.7222222222222224E-2</v>
      </c>
      <c r="I11" s="19">
        <v>0.95138888888888884</v>
      </c>
      <c r="J11" s="28" t="s">
        <v>110</v>
      </c>
      <c r="K11" s="28" t="s">
        <v>104</v>
      </c>
      <c r="L11" s="28" t="s">
        <v>161</v>
      </c>
      <c r="M11" s="28" t="s">
        <v>105</v>
      </c>
      <c r="N11" s="20"/>
      <c r="O11" s="28" t="s">
        <v>106</v>
      </c>
      <c r="P11" s="28" t="s">
        <v>106</v>
      </c>
      <c r="Q11" s="28" t="s">
        <v>106</v>
      </c>
      <c r="R11" s="28" t="s">
        <v>106</v>
      </c>
    </row>
    <row r="12" spans="1:19" ht="30" x14ac:dyDescent="0.2">
      <c r="A12" s="18" t="s">
        <v>188</v>
      </c>
      <c r="B12" s="28" t="s">
        <v>13</v>
      </c>
      <c r="C12" s="28" t="s">
        <v>102</v>
      </c>
      <c r="D12" s="28" t="s">
        <v>103</v>
      </c>
      <c r="E12" s="28" t="s">
        <v>189</v>
      </c>
      <c r="F12" s="28">
        <v>18997851258</v>
      </c>
      <c r="G12" s="28" t="s">
        <v>163</v>
      </c>
      <c r="H12" s="19">
        <v>9.7222222222222224E-2</v>
      </c>
      <c r="I12" s="19">
        <v>0.95138888888888884</v>
      </c>
      <c r="J12" s="28" t="s">
        <v>121</v>
      </c>
      <c r="K12" s="28" t="s">
        <v>104</v>
      </c>
      <c r="L12" s="28" t="s">
        <v>161</v>
      </c>
      <c r="M12" s="28" t="s">
        <v>105</v>
      </c>
      <c r="N12" s="20"/>
      <c r="O12" s="28" t="s">
        <v>106</v>
      </c>
      <c r="P12" s="28" t="s">
        <v>106</v>
      </c>
      <c r="Q12" s="28" t="s">
        <v>106</v>
      </c>
      <c r="R12" s="28" t="s">
        <v>106</v>
      </c>
    </row>
    <row r="13" spans="1:19" x14ac:dyDescent="0.2">
      <c r="A13" s="34" t="s">
        <v>190</v>
      </c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21"/>
    </row>
    <row r="14" spans="1:19" ht="30" x14ac:dyDescent="0.2">
      <c r="A14" s="22" t="s">
        <v>191</v>
      </c>
      <c r="B14" s="28" t="s">
        <v>13</v>
      </c>
      <c r="C14" s="28" t="s">
        <v>102</v>
      </c>
      <c r="D14" s="28" t="s">
        <v>103</v>
      </c>
      <c r="E14" s="28" t="s">
        <v>192</v>
      </c>
      <c r="F14" s="21"/>
      <c r="G14" s="28" t="s">
        <v>163</v>
      </c>
      <c r="H14" s="19">
        <v>9.7222222222222224E-2</v>
      </c>
      <c r="I14" s="19">
        <v>0.95138888888888884</v>
      </c>
      <c r="J14" s="28" t="s">
        <v>140</v>
      </c>
      <c r="K14" s="28" t="s">
        <v>104</v>
      </c>
      <c r="L14" s="28" t="s">
        <v>161</v>
      </c>
      <c r="M14" s="28" t="s">
        <v>156</v>
      </c>
      <c r="N14" s="20"/>
      <c r="O14" s="28" t="s">
        <v>106</v>
      </c>
      <c r="P14" s="28" t="s">
        <v>106</v>
      </c>
      <c r="Q14" s="28" t="s">
        <v>106</v>
      </c>
      <c r="R14" s="28" t="s">
        <v>106</v>
      </c>
    </row>
    <row r="15" spans="1:19" ht="18" customHeight="1" x14ac:dyDescent="0.2">
      <c r="A15" s="35">
        <v>45518</v>
      </c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</row>
    <row r="16" spans="1:19" ht="30" x14ac:dyDescent="0.2">
      <c r="A16" s="18" t="s">
        <v>193</v>
      </c>
      <c r="B16" s="28" t="s">
        <v>162</v>
      </c>
      <c r="C16" s="28" t="s">
        <v>102</v>
      </c>
      <c r="D16" s="28" t="s">
        <v>103</v>
      </c>
      <c r="E16" s="28" t="s">
        <v>194</v>
      </c>
      <c r="F16" s="28">
        <v>35999793080</v>
      </c>
      <c r="G16" s="28" t="s">
        <v>164</v>
      </c>
      <c r="H16" s="19">
        <v>0.20833333333333334</v>
      </c>
      <c r="I16" s="19">
        <v>0</v>
      </c>
      <c r="J16" s="28" t="s">
        <v>107</v>
      </c>
      <c r="K16" s="28" t="s">
        <v>104</v>
      </c>
      <c r="L16" s="28" t="s">
        <v>195</v>
      </c>
      <c r="M16" s="28" t="s">
        <v>196</v>
      </c>
      <c r="N16" s="20"/>
      <c r="O16" s="28" t="s">
        <v>106</v>
      </c>
      <c r="P16" s="28" t="s">
        <v>106</v>
      </c>
      <c r="Q16" s="28" t="s">
        <v>106</v>
      </c>
      <c r="R16" s="28" t="s">
        <v>106</v>
      </c>
    </row>
    <row r="17" spans="1:18" x14ac:dyDescent="0.2">
      <c r="A17" s="34" t="s">
        <v>197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21"/>
    </row>
    <row r="18" spans="1:18" ht="30" x14ac:dyDescent="0.2">
      <c r="A18" s="22" t="s">
        <v>198</v>
      </c>
      <c r="B18" s="28" t="s">
        <v>13</v>
      </c>
      <c r="C18" s="28" t="s">
        <v>102</v>
      </c>
      <c r="D18" s="28" t="s">
        <v>103</v>
      </c>
      <c r="E18" s="28" t="s">
        <v>199</v>
      </c>
      <c r="F18" s="21"/>
      <c r="G18" s="28" t="s">
        <v>200</v>
      </c>
      <c r="H18" s="19">
        <v>0.18055555555555555</v>
      </c>
      <c r="I18" s="19">
        <v>3.4722222222222224E-2</v>
      </c>
      <c r="J18" s="28" t="s">
        <v>120</v>
      </c>
      <c r="K18" s="28" t="s">
        <v>104</v>
      </c>
      <c r="L18" s="28" t="s">
        <v>178</v>
      </c>
      <c r="M18" s="28" t="s">
        <v>156</v>
      </c>
      <c r="N18" s="20"/>
      <c r="O18" s="28" t="s">
        <v>106</v>
      </c>
      <c r="P18" s="28" t="s">
        <v>106</v>
      </c>
      <c r="Q18" s="28" t="s">
        <v>106</v>
      </c>
      <c r="R18" s="28" t="s">
        <v>106</v>
      </c>
    </row>
    <row r="19" spans="1:18" ht="30" x14ac:dyDescent="0.2">
      <c r="A19" s="18" t="s">
        <v>201</v>
      </c>
      <c r="B19" s="28" t="s">
        <v>13</v>
      </c>
      <c r="C19" s="28" t="s">
        <v>102</v>
      </c>
      <c r="D19" s="28" t="s">
        <v>103</v>
      </c>
      <c r="E19" s="28" t="s">
        <v>202</v>
      </c>
      <c r="F19" s="21"/>
      <c r="G19" s="28" t="s">
        <v>200</v>
      </c>
      <c r="H19" s="19">
        <v>0.18055555555555555</v>
      </c>
      <c r="I19" s="19">
        <v>3.4722222222222224E-2</v>
      </c>
      <c r="J19" s="28" t="s">
        <v>141</v>
      </c>
      <c r="K19" s="28" t="s">
        <v>104</v>
      </c>
      <c r="L19" s="28" t="s">
        <v>153</v>
      </c>
      <c r="M19" s="28" t="s">
        <v>105</v>
      </c>
      <c r="N19" s="20"/>
      <c r="O19" s="28" t="s">
        <v>106</v>
      </c>
      <c r="P19" s="28" t="s">
        <v>106</v>
      </c>
      <c r="Q19" s="28" t="s">
        <v>106</v>
      </c>
      <c r="R19" s="28" t="s">
        <v>106</v>
      </c>
    </row>
    <row r="20" spans="1:18" x14ac:dyDescent="0.2">
      <c r="A20" s="34" t="s">
        <v>203</v>
      </c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21"/>
    </row>
    <row r="21" spans="1:18" ht="30" x14ac:dyDescent="0.2">
      <c r="A21" s="22" t="s">
        <v>204</v>
      </c>
      <c r="B21" s="28" t="s">
        <v>13</v>
      </c>
      <c r="C21" s="28" t="s">
        <v>102</v>
      </c>
      <c r="D21" s="28" t="s">
        <v>103</v>
      </c>
      <c r="E21" s="28" t="s">
        <v>205</v>
      </c>
      <c r="F21" s="21"/>
      <c r="G21" s="28" t="s">
        <v>164</v>
      </c>
      <c r="H21" s="19">
        <v>0.20833333333333334</v>
      </c>
      <c r="I21" s="19">
        <v>6.25E-2</v>
      </c>
      <c r="J21" s="28" t="s">
        <v>122</v>
      </c>
      <c r="K21" s="28" t="s">
        <v>104</v>
      </c>
      <c r="L21" s="28" t="s">
        <v>153</v>
      </c>
      <c r="M21" s="28" t="s">
        <v>105</v>
      </c>
      <c r="N21" s="20"/>
      <c r="O21" s="28" t="s">
        <v>106</v>
      </c>
      <c r="P21" s="28" t="s">
        <v>106</v>
      </c>
      <c r="Q21" s="28" t="s">
        <v>106</v>
      </c>
      <c r="R21" s="28" t="s">
        <v>106</v>
      </c>
    </row>
    <row r="22" spans="1:18" ht="30" x14ac:dyDescent="0.2">
      <c r="A22" s="18" t="s">
        <v>206</v>
      </c>
      <c r="B22" s="28" t="s">
        <v>13</v>
      </c>
      <c r="C22" s="28" t="s">
        <v>102</v>
      </c>
      <c r="D22" s="28" t="s">
        <v>103</v>
      </c>
      <c r="E22" s="28" t="s">
        <v>207</v>
      </c>
      <c r="F22" s="28">
        <v>51999951060</v>
      </c>
      <c r="G22" s="28" t="s">
        <v>164</v>
      </c>
      <c r="H22" s="19">
        <v>0.20833333333333334</v>
      </c>
      <c r="I22" s="19">
        <v>7.2916666666666671E-2</v>
      </c>
      <c r="J22" s="28" t="s">
        <v>143</v>
      </c>
      <c r="K22" s="28" t="s">
        <v>104</v>
      </c>
      <c r="L22" s="28" t="s">
        <v>153</v>
      </c>
      <c r="M22" s="28" t="s">
        <v>146</v>
      </c>
      <c r="N22" s="20"/>
      <c r="O22" s="28" t="s">
        <v>106</v>
      </c>
      <c r="P22" s="28" t="s">
        <v>106</v>
      </c>
      <c r="Q22" s="28" t="s">
        <v>106</v>
      </c>
      <c r="R22" s="28" t="s">
        <v>106</v>
      </c>
    </row>
    <row r="23" spans="1:18" ht="30" x14ac:dyDescent="0.2">
      <c r="A23" s="22" t="s">
        <v>208</v>
      </c>
      <c r="B23" s="28" t="s">
        <v>13</v>
      </c>
      <c r="C23" s="28" t="s">
        <v>102</v>
      </c>
      <c r="D23" s="28" t="s">
        <v>103</v>
      </c>
      <c r="E23" s="28" t="s">
        <v>209</v>
      </c>
      <c r="F23" s="28">
        <v>51999951060</v>
      </c>
      <c r="G23" s="28" t="s">
        <v>164</v>
      </c>
      <c r="H23" s="19">
        <v>0.20833333333333334</v>
      </c>
      <c r="I23" s="19">
        <v>7.2916666666666671E-2</v>
      </c>
      <c r="J23" s="28" t="s">
        <v>143</v>
      </c>
      <c r="K23" s="28" t="s">
        <v>104</v>
      </c>
      <c r="L23" s="28" t="s">
        <v>153</v>
      </c>
      <c r="M23" s="28" t="s">
        <v>105</v>
      </c>
      <c r="N23" s="20"/>
      <c r="O23" s="28" t="s">
        <v>106</v>
      </c>
      <c r="P23" s="28" t="s">
        <v>106</v>
      </c>
      <c r="Q23" s="28" t="s">
        <v>106</v>
      </c>
      <c r="R23" s="28" t="s">
        <v>106</v>
      </c>
    </row>
    <row r="24" spans="1:18" ht="30" x14ac:dyDescent="0.2">
      <c r="A24" s="18" t="s">
        <v>210</v>
      </c>
      <c r="B24" s="28" t="s">
        <v>13</v>
      </c>
      <c r="C24" s="28" t="s">
        <v>102</v>
      </c>
      <c r="D24" s="28" t="s">
        <v>103</v>
      </c>
      <c r="E24" s="28" t="s">
        <v>211</v>
      </c>
      <c r="F24" s="21"/>
      <c r="G24" s="28" t="s">
        <v>212</v>
      </c>
      <c r="H24" s="19">
        <v>0.48958333333333331</v>
      </c>
      <c r="I24" s="19">
        <v>0.34375</v>
      </c>
      <c r="J24" s="28" t="s">
        <v>120</v>
      </c>
      <c r="K24" s="28" t="s">
        <v>104</v>
      </c>
      <c r="L24" s="28" t="s">
        <v>178</v>
      </c>
      <c r="M24" s="28" t="s">
        <v>105</v>
      </c>
      <c r="N24" s="20"/>
      <c r="O24" s="28" t="s">
        <v>106</v>
      </c>
      <c r="P24" s="28" t="s">
        <v>106</v>
      </c>
      <c r="Q24" s="28" t="s">
        <v>106</v>
      </c>
      <c r="R24" s="28" t="s">
        <v>106</v>
      </c>
    </row>
    <row r="25" spans="1:18" ht="30" x14ac:dyDescent="0.2">
      <c r="A25" s="22" t="s">
        <v>213</v>
      </c>
      <c r="B25" s="28" t="s">
        <v>13</v>
      </c>
      <c r="C25" s="28" t="s">
        <v>102</v>
      </c>
      <c r="D25" s="28" t="s">
        <v>103</v>
      </c>
      <c r="E25" s="28" t="s">
        <v>214</v>
      </c>
      <c r="F25" s="21"/>
      <c r="G25" s="28" t="s">
        <v>212</v>
      </c>
      <c r="H25" s="19">
        <v>0.48958333333333331</v>
      </c>
      <c r="I25" s="19">
        <v>0.34375</v>
      </c>
      <c r="J25" s="28" t="s">
        <v>120</v>
      </c>
      <c r="K25" s="28" t="s">
        <v>104</v>
      </c>
      <c r="L25" s="28" t="s">
        <v>178</v>
      </c>
      <c r="M25" s="30">
        <v>36527</v>
      </c>
      <c r="N25" s="20"/>
      <c r="O25" s="28" t="s">
        <v>106</v>
      </c>
      <c r="P25" s="28" t="s">
        <v>106</v>
      </c>
      <c r="Q25" s="28" t="s">
        <v>106</v>
      </c>
      <c r="R25" s="28" t="s">
        <v>106</v>
      </c>
    </row>
    <row r="26" spans="1:18" ht="30" x14ac:dyDescent="0.2">
      <c r="A26" s="18" t="s">
        <v>215</v>
      </c>
      <c r="B26" s="28" t="s">
        <v>13</v>
      </c>
      <c r="C26" s="28" t="s">
        <v>102</v>
      </c>
      <c r="D26" s="28" t="s">
        <v>103</v>
      </c>
      <c r="E26" s="28" t="s">
        <v>216</v>
      </c>
      <c r="F26" s="28">
        <v>31988533982</v>
      </c>
      <c r="G26" s="28" t="s">
        <v>217</v>
      </c>
      <c r="H26" s="19">
        <v>0.51388888888888884</v>
      </c>
      <c r="I26" s="19">
        <v>0.36805555555555558</v>
      </c>
      <c r="J26" s="28" t="s">
        <v>144</v>
      </c>
      <c r="K26" s="28" t="s">
        <v>104</v>
      </c>
      <c r="L26" s="28" t="s">
        <v>153</v>
      </c>
      <c r="M26" s="28" t="s">
        <v>105</v>
      </c>
      <c r="N26" s="20"/>
      <c r="O26" s="28" t="s">
        <v>106</v>
      </c>
      <c r="P26" s="28" t="s">
        <v>106</v>
      </c>
      <c r="Q26" s="28" t="s">
        <v>106</v>
      </c>
      <c r="R26" s="28" t="s">
        <v>106</v>
      </c>
    </row>
    <row r="27" spans="1:18" ht="30" x14ac:dyDescent="0.2">
      <c r="A27" s="22" t="s">
        <v>218</v>
      </c>
      <c r="B27" s="28" t="s">
        <v>13</v>
      </c>
      <c r="C27" s="28" t="s">
        <v>102</v>
      </c>
      <c r="D27" s="28" t="s">
        <v>103</v>
      </c>
      <c r="E27" s="28" t="s">
        <v>219</v>
      </c>
      <c r="F27" s="28">
        <v>48999238884</v>
      </c>
      <c r="G27" s="28" t="s">
        <v>217</v>
      </c>
      <c r="H27" s="19">
        <v>0.51388888888888884</v>
      </c>
      <c r="I27" s="19">
        <v>0.36805555555555558</v>
      </c>
      <c r="J27" s="28" t="s">
        <v>141</v>
      </c>
      <c r="K27" s="28" t="s">
        <v>104</v>
      </c>
      <c r="L27" s="28" t="s">
        <v>153</v>
      </c>
      <c r="M27" s="28" t="s">
        <v>105</v>
      </c>
      <c r="N27" s="20"/>
      <c r="O27" s="28" t="s">
        <v>106</v>
      </c>
      <c r="P27" s="28" t="s">
        <v>106</v>
      </c>
      <c r="Q27" s="28" t="s">
        <v>106</v>
      </c>
      <c r="R27" s="28" t="s">
        <v>106</v>
      </c>
    </row>
    <row r="28" spans="1:18" ht="30" x14ac:dyDescent="0.2">
      <c r="A28" s="18" t="s">
        <v>220</v>
      </c>
      <c r="B28" s="28" t="s">
        <v>13</v>
      </c>
      <c r="C28" s="28" t="s">
        <v>102</v>
      </c>
      <c r="D28" s="28" t="s">
        <v>103</v>
      </c>
      <c r="E28" s="28" t="s">
        <v>221</v>
      </c>
      <c r="F28" s="21"/>
      <c r="G28" s="28" t="s">
        <v>165</v>
      </c>
      <c r="H28" s="19">
        <v>0.52430555555555558</v>
      </c>
      <c r="I28" s="19">
        <v>0.37847222222222221</v>
      </c>
      <c r="J28" s="28" t="s">
        <v>109</v>
      </c>
      <c r="K28" s="28" t="s">
        <v>104</v>
      </c>
      <c r="L28" s="28" t="s">
        <v>153</v>
      </c>
      <c r="M28" s="28" t="s">
        <v>196</v>
      </c>
      <c r="N28" s="20"/>
      <c r="O28" s="28" t="s">
        <v>106</v>
      </c>
      <c r="P28" s="28" t="s">
        <v>106</v>
      </c>
      <c r="Q28" s="28" t="s">
        <v>106</v>
      </c>
      <c r="R28" s="28" t="s">
        <v>106</v>
      </c>
    </row>
    <row r="29" spans="1:18" x14ac:dyDescent="0.2">
      <c r="A29" s="34" t="s">
        <v>222</v>
      </c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21"/>
    </row>
    <row r="30" spans="1:18" ht="30" x14ac:dyDescent="0.2">
      <c r="A30" s="22" t="s">
        <v>223</v>
      </c>
      <c r="B30" s="28" t="s">
        <v>13</v>
      </c>
      <c r="C30" s="28" t="s">
        <v>102</v>
      </c>
      <c r="D30" s="28" t="s">
        <v>103</v>
      </c>
      <c r="E30" s="28" t="s">
        <v>224</v>
      </c>
      <c r="F30" s="21"/>
      <c r="G30" s="28" t="s">
        <v>165</v>
      </c>
      <c r="H30" s="19">
        <v>0.52430555555555558</v>
      </c>
      <c r="I30" s="19">
        <v>0.37847222222222221</v>
      </c>
      <c r="J30" s="28" t="s">
        <v>150</v>
      </c>
      <c r="K30" s="28" t="s">
        <v>104</v>
      </c>
      <c r="L30" s="28" t="s">
        <v>153</v>
      </c>
      <c r="M30" s="28" t="s">
        <v>105</v>
      </c>
      <c r="N30" s="20"/>
      <c r="O30" s="28" t="s">
        <v>106</v>
      </c>
      <c r="P30" s="28" t="s">
        <v>106</v>
      </c>
      <c r="Q30" s="28" t="s">
        <v>106</v>
      </c>
      <c r="R30" s="28" t="s">
        <v>106</v>
      </c>
    </row>
    <row r="31" spans="1:18" ht="30" x14ac:dyDescent="0.2">
      <c r="A31" s="18" t="s">
        <v>225</v>
      </c>
      <c r="B31" s="28" t="s">
        <v>13</v>
      </c>
      <c r="C31" s="28" t="s">
        <v>102</v>
      </c>
      <c r="D31" s="28" t="s">
        <v>103</v>
      </c>
      <c r="E31" s="28" t="s">
        <v>226</v>
      </c>
      <c r="F31" s="28" t="s">
        <v>227</v>
      </c>
      <c r="G31" s="28" t="s">
        <v>154</v>
      </c>
      <c r="H31" s="19">
        <v>0.55902777777777779</v>
      </c>
      <c r="I31" s="19">
        <v>0.41319444444444442</v>
      </c>
      <c r="J31" s="28" t="s">
        <v>118</v>
      </c>
      <c r="K31" s="28" t="s">
        <v>104</v>
      </c>
      <c r="L31" s="28" t="s">
        <v>159</v>
      </c>
      <c r="M31" s="28" t="s">
        <v>146</v>
      </c>
      <c r="N31" s="20"/>
      <c r="O31" s="28" t="s">
        <v>106</v>
      </c>
      <c r="P31" s="28" t="s">
        <v>106</v>
      </c>
      <c r="Q31" s="28" t="s">
        <v>106</v>
      </c>
      <c r="R31" s="28" t="s">
        <v>106</v>
      </c>
    </row>
    <row r="32" spans="1:18" x14ac:dyDescent="0.2">
      <c r="A32" s="34" t="s">
        <v>228</v>
      </c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21"/>
    </row>
    <row r="33" spans="1:18" ht="30" x14ac:dyDescent="0.2">
      <c r="A33" s="22" t="s">
        <v>229</v>
      </c>
      <c r="B33" s="28" t="s">
        <v>13</v>
      </c>
      <c r="C33" s="28" t="s">
        <v>102</v>
      </c>
      <c r="D33" s="28" t="s">
        <v>103</v>
      </c>
      <c r="E33" s="28" t="s">
        <v>230</v>
      </c>
      <c r="F33" s="21"/>
      <c r="G33" s="28" t="s">
        <v>154</v>
      </c>
      <c r="H33" s="19">
        <v>0.55902777777777779</v>
      </c>
      <c r="I33" s="19">
        <v>0.41319444444444442</v>
      </c>
      <c r="J33" s="28" t="s">
        <v>119</v>
      </c>
      <c r="K33" s="28" t="s">
        <v>104</v>
      </c>
      <c r="L33" s="28" t="s">
        <v>153</v>
      </c>
      <c r="M33" s="30">
        <v>36527</v>
      </c>
      <c r="N33" s="20"/>
      <c r="O33" s="28" t="s">
        <v>106</v>
      </c>
      <c r="P33" s="28" t="s">
        <v>106</v>
      </c>
      <c r="Q33" s="28" t="s">
        <v>106</v>
      </c>
      <c r="R33" s="28" t="s">
        <v>106</v>
      </c>
    </row>
    <row r="34" spans="1:18" ht="30" x14ac:dyDescent="0.2">
      <c r="A34" s="18" t="s">
        <v>231</v>
      </c>
      <c r="B34" s="28" t="s">
        <v>13</v>
      </c>
      <c r="C34" s="28" t="s">
        <v>102</v>
      </c>
      <c r="D34" s="28" t="s">
        <v>103</v>
      </c>
      <c r="E34" s="28" t="s">
        <v>232</v>
      </c>
      <c r="F34" s="28">
        <v>66999791044</v>
      </c>
      <c r="G34" s="28" t="s">
        <v>158</v>
      </c>
      <c r="H34" s="19">
        <v>0.70486111111111116</v>
      </c>
      <c r="I34" s="19">
        <v>0.55902777777777779</v>
      </c>
      <c r="J34" s="28" t="s">
        <v>143</v>
      </c>
      <c r="K34" s="28" t="s">
        <v>104</v>
      </c>
      <c r="L34" s="28" t="s">
        <v>153</v>
      </c>
      <c r="M34" s="28" t="s">
        <v>146</v>
      </c>
      <c r="N34" s="20"/>
      <c r="O34" s="28" t="s">
        <v>106</v>
      </c>
      <c r="P34" s="28" t="s">
        <v>106</v>
      </c>
      <c r="Q34" s="28" t="s">
        <v>106</v>
      </c>
      <c r="R34" s="28" t="s">
        <v>106</v>
      </c>
    </row>
    <row r="35" spans="1:18" ht="30" x14ac:dyDescent="0.2">
      <c r="A35" s="22" t="s">
        <v>233</v>
      </c>
      <c r="B35" s="28" t="s">
        <v>13</v>
      </c>
      <c r="C35" s="28" t="s">
        <v>102</v>
      </c>
      <c r="D35" s="28" t="s">
        <v>103</v>
      </c>
      <c r="E35" s="28" t="s">
        <v>234</v>
      </c>
      <c r="F35" s="28">
        <v>65999461271</v>
      </c>
      <c r="G35" s="28" t="s">
        <v>158</v>
      </c>
      <c r="H35" s="19">
        <v>0.70486111111111116</v>
      </c>
      <c r="I35" s="19">
        <v>0.55902777777777779</v>
      </c>
      <c r="J35" s="28" t="s">
        <v>143</v>
      </c>
      <c r="K35" s="28" t="s">
        <v>104</v>
      </c>
      <c r="L35" s="28" t="s">
        <v>153</v>
      </c>
      <c r="M35" s="28" t="s">
        <v>147</v>
      </c>
      <c r="N35" s="20"/>
      <c r="O35" s="28" t="s">
        <v>106</v>
      </c>
      <c r="P35" s="28" t="s">
        <v>106</v>
      </c>
      <c r="Q35" s="28" t="s">
        <v>106</v>
      </c>
      <c r="R35" s="28" t="s">
        <v>106</v>
      </c>
    </row>
    <row r="36" spans="1:18" ht="30" x14ac:dyDescent="0.2">
      <c r="A36" s="18" t="s">
        <v>235</v>
      </c>
      <c r="B36" s="28" t="s">
        <v>13</v>
      </c>
      <c r="C36" s="28" t="s">
        <v>102</v>
      </c>
      <c r="D36" s="28" t="s">
        <v>103</v>
      </c>
      <c r="E36" s="28" t="s">
        <v>236</v>
      </c>
      <c r="F36" s="28">
        <v>67981856622</v>
      </c>
      <c r="G36" s="28" t="s">
        <v>166</v>
      </c>
      <c r="H36" s="19">
        <v>0.71180555555555558</v>
      </c>
      <c r="I36" s="19">
        <v>0.56597222222222221</v>
      </c>
      <c r="J36" s="28" t="s">
        <v>142</v>
      </c>
      <c r="K36" s="28" t="s">
        <v>104</v>
      </c>
      <c r="L36" s="28" t="s">
        <v>157</v>
      </c>
      <c r="M36" s="28" t="s">
        <v>105</v>
      </c>
      <c r="N36" s="20"/>
      <c r="O36" s="28" t="s">
        <v>106</v>
      </c>
      <c r="P36" s="28" t="s">
        <v>106</v>
      </c>
      <c r="Q36" s="28" t="s">
        <v>106</v>
      </c>
      <c r="R36" s="28" t="s">
        <v>106</v>
      </c>
    </row>
    <row r="37" spans="1:18" ht="30" x14ac:dyDescent="0.2">
      <c r="A37" s="22" t="s">
        <v>237</v>
      </c>
      <c r="B37" s="28" t="s">
        <v>13</v>
      </c>
      <c r="C37" s="28" t="s">
        <v>102</v>
      </c>
      <c r="D37" s="28" t="s">
        <v>103</v>
      </c>
      <c r="E37" s="28" t="s">
        <v>238</v>
      </c>
      <c r="F37" s="28">
        <v>11973704775</v>
      </c>
      <c r="G37" s="28" t="s">
        <v>148</v>
      </c>
      <c r="H37" s="19">
        <v>0.72222222222222221</v>
      </c>
      <c r="I37" s="19">
        <v>0.56944444444444442</v>
      </c>
      <c r="J37" s="28" t="s">
        <v>141</v>
      </c>
      <c r="K37" s="28" t="s">
        <v>104</v>
      </c>
      <c r="L37" s="28" t="s">
        <v>153</v>
      </c>
      <c r="M37" s="28" t="s">
        <v>105</v>
      </c>
      <c r="N37" s="20"/>
      <c r="O37" s="28" t="s">
        <v>106</v>
      </c>
      <c r="P37" s="28" t="s">
        <v>106</v>
      </c>
      <c r="Q37" s="28" t="s">
        <v>106</v>
      </c>
      <c r="R37" s="28" t="s">
        <v>106</v>
      </c>
    </row>
    <row r="38" spans="1:18" ht="30" x14ac:dyDescent="0.2">
      <c r="A38" s="18" t="s">
        <v>239</v>
      </c>
      <c r="B38" s="28" t="s">
        <v>13</v>
      </c>
      <c r="C38" s="28" t="s">
        <v>102</v>
      </c>
      <c r="D38" s="28" t="s">
        <v>103</v>
      </c>
      <c r="E38" s="28" t="s">
        <v>240</v>
      </c>
      <c r="F38" s="28">
        <v>12988375546</v>
      </c>
      <c r="G38" s="28" t="s">
        <v>148</v>
      </c>
      <c r="H38" s="19">
        <v>0.72222222222222221</v>
      </c>
      <c r="I38" s="19">
        <v>0.56944444444444442</v>
      </c>
      <c r="J38" s="28" t="s">
        <v>144</v>
      </c>
      <c r="K38" s="28" t="s">
        <v>104</v>
      </c>
      <c r="L38" s="28" t="s">
        <v>153</v>
      </c>
      <c r="M38" s="28" t="s">
        <v>105</v>
      </c>
      <c r="N38" s="20"/>
      <c r="O38" s="28" t="s">
        <v>106</v>
      </c>
      <c r="P38" s="28" t="s">
        <v>106</v>
      </c>
      <c r="Q38" s="28" t="s">
        <v>106</v>
      </c>
      <c r="R38" s="28" t="s">
        <v>106</v>
      </c>
    </row>
    <row r="39" spans="1:18" ht="30" x14ac:dyDescent="0.2">
      <c r="A39" s="22" t="s">
        <v>241</v>
      </c>
      <c r="B39" s="28" t="s">
        <v>13</v>
      </c>
      <c r="C39" s="28" t="s">
        <v>102</v>
      </c>
      <c r="D39" s="28" t="s">
        <v>103</v>
      </c>
      <c r="E39" s="28" t="s">
        <v>242</v>
      </c>
      <c r="F39" s="28" t="s">
        <v>243</v>
      </c>
      <c r="G39" s="28" t="s">
        <v>148</v>
      </c>
      <c r="H39" s="19">
        <v>0.72222222222222221</v>
      </c>
      <c r="I39" s="19">
        <v>0.57638888888888884</v>
      </c>
      <c r="J39" s="28" t="s">
        <v>118</v>
      </c>
      <c r="K39" s="28" t="s">
        <v>104</v>
      </c>
      <c r="L39" s="28" t="s">
        <v>153</v>
      </c>
      <c r="M39" s="28" t="s">
        <v>105</v>
      </c>
      <c r="N39" s="20"/>
      <c r="O39" s="28" t="s">
        <v>106</v>
      </c>
      <c r="P39" s="28" t="s">
        <v>106</v>
      </c>
      <c r="Q39" s="28" t="s">
        <v>106</v>
      </c>
      <c r="R39" s="28" t="s">
        <v>106</v>
      </c>
    </row>
    <row r="40" spans="1:18" ht="30" x14ac:dyDescent="0.2">
      <c r="A40" s="18" t="s">
        <v>244</v>
      </c>
      <c r="B40" s="28" t="s">
        <v>13</v>
      </c>
      <c r="C40" s="28" t="s">
        <v>102</v>
      </c>
      <c r="D40" s="28" t="s">
        <v>103</v>
      </c>
      <c r="E40" s="28" t="s">
        <v>245</v>
      </c>
      <c r="F40" s="28">
        <v>11938012002</v>
      </c>
      <c r="G40" s="28" t="s">
        <v>149</v>
      </c>
      <c r="H40" s="19">
        <v>0.74652777777777779</v>
      </c>
      <c r="I40" s="19">
        <v>0.60416666666666663</v>
      </c>
      <c r="J40" s="28" t="s">
        <v>117</v>
      </c>
      <c r="K40" s="28" t="s">
        <v>104</v>
      </c>
      <c r="L40" s="28" t="s">
        <v>153</v>
      </c>
      <c r="M40" s="28" t="s">
        <v>147</v>
      </c>
      <c r="N40" s="20"/>
      <c r="O40" s="28" t="s">
        <v>106</v>
      </c>
      <c r="P40" s="28" t="s">
        <v>106</v>
      </c>
      <c r="Q40" s="28" t="s">
        <v>106</v>
      </c>
      <c r="R40" s="28" t="s">
        <v>106</v>
      </c>
    </row>
    <row r="41" spans="1:18" ht="30" x14ac:dyDescent="0.2">
      <c r="A41" s="22" t="s">
        <v>246</v>
      </c>
      <c r="B41" s="28" t="s">
        <v>13</v>
      </c>
      <c r="C41" s="28" t="s">
        <v>102</v>
      </c>
      <c r="D41" s="28" t="s">
        <v>103</v>
      </c>
      <c r="E41" s="28" t="s">
        <v>247</v>
      </c>
      <c r="F41" s="28">
        <v>66996616357</v>
      </c>
      <c r="G41" s="28" t="s">
        <v>149</v>
      </c>
      <c r="H41" s="19">
        <v>0.74652777777777779</v>
      </c>
      <c r="I41" s="19">
        <v>0.60416666666666663</v>
      </c>
      <c r="J41" s="28" t="s">
        <v>117</v>
      </c>
      <c r="K41" s="28" t="s">
        <v>104</v>
      </c>
      <c r="L41" s="28" t="s">
        <v>153</v>
      </c>
      <c r="M41" s="28" t="s">
        <v>147</v>
      </c>
      <c r="N41" s="20"/>
      <c r="O41" s="28" t="s">
        <v>106</v>
      </c>
      <c r="P41" s="28" t="s">
        <v>106</v>
      </c>
      <c r="Q41" s="28" t="s">
        <v>106</v>
      </c>
      <c r="R41" s="28" t="s">
        <v>106</v>
      </c>
    </row>
    <row r="42" spans="1:18" x14ac:dyDescent="0.2">
      <c r="A42" s="34" t="s">
        <v>248</v>
      </c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21"/>
    </row>
    <row r="43" spans="1:18" ht="30" x14ac:dyDescent="0.2">
      <c r="A43" s="18" t="s">
        <v>249</v>
      </c>
      <c r="B43" s="28" t="s">
        <v>13</v>
      </c>
      <c r="C43" s="28" t="s">
        <v>102</v>
      </c>
      <c r="D43" s="28" t="s">
        <v>103</v>
      </c>
      <c r="E43" s="28" t="s">
        <v>250</v>
      </c>
      <c r="F43" s="28">
        <v>66996280826</v>
      </c>
      <c r="G43" s="28" t="s">
        <v>149</v>
      </c>
      <c r="H43" s="19">
        <v>0.74652777777777779</v>
      </c>
      <c r="I43" s="19">
        <v>0.60416666666666663</v>
      </c>
      <c r="J43" s="28" t="s">
        <v>120</v>
      </c>
      <c r="K43" s="28" t="s">
        <v>104</v>
      </c>
      <c r="L43" s="28" t="s">
        <v>178</v>
      </c>
      <c r="M43" s="28" t="s">
        <v>105</v>
      </c>
      <c r="N43" s="20"/>
      <c r="O43" s="28" t="s">
        <v>106</v>
      </c>
      <c r="P43" s="28" t="s">
        <v>106</v>
      </c>
      <c r="Q43" s="28" t="s">
        <v>106</v>
      </c>
      <c r="R43" s="28" t="s">
        <v>106</v>
      </c>
    </row>
    <row r="44" spans="1:18" ht="30" x14ac:dyDescent="0.2">
      <c r="A44" s="22" t="s">
        <v>251</v>
      </c>
      <c r="B44" s="28" t="s">
        <v>13</v>
      </c>
      <c r="C44" s="28" t="s">
        <v>102</v>
      </c>
      <c r="D44" s="28" t="s">
        <v>103</v>
      </c>
      <c r="E44" s="28" t="s">
        <v>252</v>
      </c>
      <c r="F44" s="28">
        <v>66996822314</v>
      </c>
      <c r="G44" s="28" t="s">
        <v>149</v>
      </c>
      <c r="H44" s="19">
        <v>0.74652777777777779</v>
      </c>
      <c r="I44" s="19">
        <v>0.60416666666666663</v>
      </c>
      <c r="J44" s="28" t="s">
        <v>108</v>
      </c>
      <c r="K44" s="28" t="s">
        <v>104</v>
      </c>
      <c r="L44" s="28" t="s">
        <v>153</v>
      </c>
      <c r="M44" s="28" t="s">
        <v>105</v>
      </c>
      <c r="N44" s="20"/>
      <c r="O44" s="28" t="s">
        <v>106</v>
      </c>
      <c r="P44" s="28" t="s">
        <v>106</v>
      </c>
      <c r="Q44" s="28" t="s">
        <v>106</v>
      </c>
      <c r="R44" s="28" t="s">
        <v>106</v>
      </c>
    </row>
    <row r="45" spans="1:18" ht="30" x14ac:dyDescent="0.2">
      <c r="A45" s="18" t="s">
        <v>253</v>
      </c>
      <c r="B45" s="28" t="s">
        <v>13</v>
      </c>
      <c r="C45" s="28" t="s">
        <v>102</v>
      </c>
      <c r="D45" s="28" t="s">
        <v>103</v>
      </c>
      <c r="E45" s="28" t="s">
        <v>254</v>
      </c>
      <c r="F45" s="28">
        <v>11984277053</v>
      </c>
      <c r="G45" s="28" t="s">
        <v>149</v>
      </c>
      <c r="H45" s="19">
        <v>0.74652777777777779</v>
      </c>
      <c r="I45" s="19">
        <v>0.60416666666666663</v>
      </c>
      <c r="J45" s="28" t="s">
        <v>145</v>
      </c>
      <c r="K45" s="28" t="s">
        <v>104</v>
      </c>
      <c r="L45" s="28" t="s">
        <v>153</v>
      </c>
      <c r="M45" s="28" t="s">
        <v>105</v>
      </c>
      <c r="N45" s="20"/>
      <c r="O45" s="28" t="s">
        <v>106</v>
      </c>
      <c r="P45" s="28" t="s">
        <v>106</v>
      </c>
      <c r="Q45" s="28" t="s">
        <v>106</v>
      </c>
      <c r="R45" s="28" t="s">
        <v>106</v>
      </c>
    </row>
    <row r="46" spans="1:18" ht="30" x14ac:dyDescent="0.2">
      <c r="A46" s="22" t="s">
        <v>255</v>
      </c>
      <c r="B46" s="28" t="s">
        <v>13</v>
      </c>
      <c r="C46" s="28" t="s">
        <v>102</v>
      </c>
      <c r="D46" s="28" t="s">
        <v>103</v>
      </c>
      <c r="E46" s="28" t="s">
        <v>256</v>
      </c>
      <c r="F46" s="28">
        <v>11966534720</v>
      </c>
      <c r="G46" s="28" t="s">
        <v>149</v>
      </c>
      <c r="H46" s="19">
        <v>0.74652777777777779</v>
      </c>
      <c r="I46" s="19">
        <v>0.60416666666666663</v>
      </c>
      <c r="J46" s="28" t="s">
        <v>116</v>
      </c>
      <c r="K46" s="28" t="s">
        <v>104</v>
      </c>
      <c r="L46" s="28" t="s">
        <v>153</v>
      </c>
      <c r="M46" s="28" t="s">
        <v>105</v>
      </c>
      <c r="N46" s="20"/>
      <c r="O46" s="28" t="s">
        <v>106</v>
      </c>
      <c r="P46" s="28" t="s">
        <v>106</v>
      </c>
      <c r="Q46" s="28" t="s">
        <v>106</v>
      </c>
      <c r="R46" s="28" t="s">
        <v>106</v>
      </c>
    </row>
    <row r="47" spans="1:18" ht="30" x14ac:dyDescent="0.2">
      <c r="A47" s="18" t="s">
        <v>257</v>
      </c>
      <c r="B47" s="28" t="s">
        <v>13</v>
      </c>
      <c r="C47" s="28" t="s">
        <v>102</v>
      </c>
      <c r="D47" s="28" t="s">
        <v>103</v>
      </c>
      <c r="E47" s="28" t="s">
        <v>258</v>
      </c>
      <c r="F47" s="21"/>
      <c r="G47" s="28" t="s">
        <v>149</v>
      </c>
      <c r="H47" s="19">
        <v>0.74652777777777779</v>
      </c>
      <c r="I47" s="19">
        <v>0.60416666666666663</v>
      </c>
      <c r="J47" s="28" t="s">
        <v>119</v>
      </c>
      <c r="K47" s="28" t="s">
        <v>104</v>
      </c>
      <c r="L47" s="28" t="s">
        <v>153</v>
      </c>
      <c r="M47" s="28" t="s">
        <v>105</v>
      </c>
      <c r="N47" s="20"/>
      <c r="O47" s="28" t="s">
        <v>106</v>
      </c>
      <c r="P47" s="28" t="s">
        <v>106</v>
      </c>
      <c r="Q47" s="28" t="s">
        <v>106</v>
      </c>
      <c r="R47" s="28" t="s">
        <v>106</v>
      </c>
    </row>
    <row r="48" spans="1:18" ht="30" x14ac:dyDescent="0.2">
      <c r="A48" s="22" t="s">
        <v>259</v>
      </c>
      <c r="B48" s="28" t="s">
        <v>13</v>
      </c>
      <c r="C48" s="28" t="s">
        <v>102</v>
      </c>
      <c r="D48" s="28" t="s">
        <v>103</v>
      </c>
      <c r="E48" s="28" t="s">
        <v>260</v>
      </c>
      <c r="F48" s="28">
        <v>19994000919</v>
      </c>
      <c r="G48" s="28" t="s">
        <v>149</v>
      </c>
      <c r="H48" s="19">
        <v>0.74652777777777779</v>
      </c>
      <c r="I48" s="19">
        <v>0.60416666666666663</v>
      </c>
      <c r="J48" s="28" t="s">
        <v>112</v>
      </c>
      <c r="K48" s="28" t="s">
        <v>104</v>
      </c>
      <c r="L48" s="28" t="s">
        <v>153</v>
      </c>
      <c r="M48" s="28" t="s">
        <v>146</v>
      </c>
      <c r="N48" s="20"/>
      <c r="O48" s="28" t="s">
        <v>106</v>
      </c>
      <c r="P48" s="28" t="s">
        <v>106</v>
      </c>
      <c r="Q48" s="28" t="s">
        <v>106</v>
      </c>
      <c r="R48" s="28" t="s">
        <v>106</v>
      </c>
    </row>
    <row r="49" spans="1:18" ht="30" x14ac:dyDescent="0.2">
      <c r="A49" s="18" t="s">
        <v>261</v>
      </c>
      <c r="B49" s="28" t="s">
        <v>13</v>
      </c>
      <c r="C49" s="28" t="s">
        <v>102</v>
      </c>
      <c r="D49" s="28" t="s">
        <v>103</v>
      </c>
      <c r="E49" s="28" t="s">
        <v>262</v>
      </c>
      <c r="F49" s="28">
        <v>11947246929</v>
      </c>
      <c r="G49" s="28" t="s">
        <v>149</v>
      </c>
      <c r="H49" s="19">
        <v>0.74652777777777779</v>
      </c>
      <c r="I49" s="19">
        <v>0.60416666666666663</v>
      </c>
      <c r="J49" s="28" t="s">
        <v>110</v>
      </c>
      <c r="K49" s="28" t="s">
        <v>104</v>
      </c>
      <c r="L49" s="28" t="s">
        <v>153</v>
      </c>
      <c r="M49" s="28" t="s">
        <v>105</v>
      </c>
      <c r="N49" s="20"/>
      <c r="O49" s="28" t="s">
        <v>106</v>
      </c>
      <c r="P49" s="28" t="s">
        <v>106</v>
      </c>
      <c r="Q49" s="28" t="s">
        <v>106</v>
      </c>
      <c r="R49" s="28" t="s">
        <v>106</v>
      </c>
    </row>
    <row r="50" spans="1:18" ht="30" x14ac:dyDescent="0.2">
      <c r="A50" s="22" t="s">
        <v>263</v>
      </c>
      <c r="B50" s="28" t="s">
        <v>13</v>
      </c>
      <c r="C50" s="28" t="s">
        <v>102</v>
      </c>
      <c r="D50" s="28" t="s">
        <v>103</v>
      </c>
      <c r="E50" s="28" t="s">
        <v>264</v>
      </c>
      <c r="F50" s="28">
        <v>12988761938</v>
      </c>
      <c r="G50" s="28" t="s">
        <v>149</v>
      </c>
      <c r="H50" s="19">
        <v>0.74652777777777779</v>
      </c>
      <c r="I50" s="19">
        <v>0.60416666666666663</v>
      </c>
      <c r="J50" s="28" t="s">
        <v>121</v>
      </c>
      <c r="K50" s="28" t="s">
        <v>104</v>
      </c>
      <c r="L50" s="28" t="s">
        <v>153</v>
      </c>
      <c r="M50" s="28" t="s">
        <v>105</v>
      </c>
      <c r="N50" s="20"/>
      <c r="O50" s="28" t="s">
        <v>106</v>
      </c>
      <c r="P50" s="28" t="s">
        <v>106</v>
      </c>
      <c r="Q50" s="28" t="s">
        <v>106</v>
      </c>
      <c r="R50" s="28" t="s">
        <v>106</v>
      </c>
    </row>
    <row r="51" spans="1:18" ht="30" x14ac:dyDescent="0.2">
      <c r="A51" s="18" t="s">
        <v>265</v>
      </c>
      <c r="B51" s="28" t="s">
        <v>13</v>
      </c>
      <c r="C51" s="28" t="s">
        <v>102</v>
      </c>
      <c r="D51" s="28" t="s">
        <v>103</v>
      </c>
      <c r="E51" s="28" t="s">
        <v>266</v>
      </c>
      <c r="F51" s="28">
        <v>45988034454</v>
      </c>
      <c r="G51" s="28" t="s">
        <v>149</v>
      </c>
      <c r="H51" s="19">
        <v>0.74652777777777779</v>
      </c>
      <c r="I51" s="19">
        <v>0.60416666666666663</v>
      </c>
      <c r="J51" s="28" t="s">
        <v>119</v>
      </c>
      <c r="K51" s="28" t="s">
        <v>104</v>
      </c>
      <c r="L51" s="28" t="s">
        <v>185</v>
      </c>
      <c r="M51" s="28" t="s">
        <v>105</v>
      </c>
      <c r="N51" s="20"/>
      <c r="O51" s="28" t="s">
        <v>106</v>
      </c>
      <c r="P51" s="28" t="s">
        <v>106</v>
      </c>
      <c r="Q51" s="28" t="s">
        <v>106</v>
      </c>
      <c r="R51" s="28" t="s">
        <v>106</v>
      </c>
    </row>
    <row r="52" spans="1:18" x14ac:dyDescent="0.2">
      <c r="A52" s="34" t="s">
        <v>267</v>
      </c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21"/>
    </row>
  </sheetData>
  <mergeCells count="11">
    <mergeCell ref="A2:S2"/>
    <mergeCell ref="A20:Q20"/>
    <mergeCell ref="A52:Q52"/>
    <mergeCell ref="A4:S4"/>
    <mergeCell ref="A9:Q9"/>
    <mergeCell ref="A13:Q13"/>
    <mergeCell ref="A15:S15"/>
    <mergeCell ref="A17:Q17"/>
    <mergeCell ref="A29:Q29"/>
    <mergeCell ref="A32:Q32"/>
    <mergeCell ref="A42:Q42"/>
  </mergeCells>
  <hyperlinks>
    <hyperlink ref="A3" r:id="rId1" display="file:///new-reserve/finish-view-list/17734" xr:uid="{F4820907-9B99-6843-A52A-B051B76F3508}"/>
    <hyperlink ref="A5" r:id="rId2" display="file:///new-reserve/finish-view-list/13496" xr:uid="{1AD62043-2268-FA40-BC1B-E0E3ACDE0E61}"/>
    <hyperlink ref="A6" r:id="rId3" display="file:///new-reserve/finish-view-list/12293" xr:uid="{B6434B15-EE30-A04D-A3CB-95068F562861}"/>
    <hyperlink ref="A7" r:id="rId4" display="file:///new-reserve/finish-view-list/13638" xr:uid="{FB7E86F6-E9C2-E743-8D59-B4E7EC786A48}"/>
    <hyperlink ref="A8" r:id="rId5" display="file:///new-reserve/finish-view-list/14051" xr:uid="{ED01C848-888A-A047-AA0B-60EA97D522A3}"/>
    <hyperlink ref="A10" r:id="rId6" display="file:///new-reserve/finish-view-list/14170" xr:uid="{7C2207B3-0BD6-A64E-A219-0A31AB2E675C}"/>
    <hyperlink ref="A11" r:id="rId7" display="file:///new-reserve/finish-view-list/15386" xr:uid="{77B66AD5-F308-C940-96C5-1194032FDAEE}"/>
    <hyperlink ref="A12" r:id="rId8" display="file:///new-reserve/finish-view-list/15389" xr:uid="{AFA7D737-9A6C-014B-A013-1764E8438845}"/>
    <hyperlink ref="A14" r:id="rId9" display="file:///new-reserve/finish-view-list/18962" xr:uid="{6AFA2331-C1E4-E14B-BA43-535CF0060D4C}"/>
    <hyperlink ref="A16" r:id="rId10" display="file:///new-reserve/finish-view-list/16818" xr:uid="{8FF8DBEC-39F3-0E40-9DC4-EE73EC1C841D}"/>
    <hyperlink ref="A18" r:id="rId11" display="file:///new-reserve/finish-view-list/9644" xr:uid="{CB2727FF-7917-DE49-A71E-CD8BFB93DF1A}"/>
    <hyperlink ref="A19" r:id="rId12" display="file:///new-reserve/finish-view-list/13539" xr:uid="{04623806-7394-A24D-9AA6-C3E5936AA723}"/>
    <hyperlink ref="A21" r:id="rId13" display="file:///new-reserve/finish-view-list/13473" xr:uid="{DCAA9661-1067-0544-BF4B-F8A139924E04}"/>
    <hyperlink ref="A22" r:id="rId14" display="file:///new-reserve/finish-view-list/13475" xr:uid="{CC198071-BEA7-A547-AB5C-BAF541671E62}"/>
    <hyperlink ref="A23" r:id="rId15" display="file:///new-reserve/finish-view-list/13477" xr:uid="{8A7808E0-4577-1B4E-96B3-93914E3329B2}"/>
    <hyperlink ref="A24" r:id="rId16" display="file:///new-reserve/finish-view-list/14168" xr:uid="{A433FEFC-D696-234D-8603-633DD965EBB1}"/>
    <hyperlink ref="A25" r:id="rId17" display="file:///new-reserve/finish-view-list/14169" xr:uid="{A2344C36-FA27-274D-9FDD-DCB839D3A27B}"/>
    <hyperlink ref="A26" r:id="rId18" display="file:///new-reserve/finish-view-list/13525" xr:uid="{5B007336-DC78-AD44-85B7-0EC8AB54B16D}"/>
    <hyperlink ref="A27" r:id="rId19" display="file:///new-reserve/finish-view-list/13530" xr:uid="{F26881A8-D0FA-CE40-B6A8-EFEE861A9606}"/>
    <hyperlink ref="A28" r:id="rId20" display="file:///new-reserve/finish-view-list/13479" xr:uid="{2D9E8758-D340-174A-8687-776EEBCF4271}"/>
    <hyperlink ref="A30" r:id="rId21" display="file:///new-reserve/finish-view-list/13515" xr:uid="{4F7149F6-6F7A-2543-9728-559AECAD3A4D}"/>
    <hyperlink ref="A31" r:id="rId22" display="file:///new-reserve/finish-view-list/13640" xr:uid="{60AB40D2-5A11-6C4E-9CCA-6BFCC68FC8BD}"/>
    <hyperlink ref="A33" r:id="rId23" display="file:///new-reserve/finish-view-list/14232" xr:uid="{1BA91E63-8045-7641-9032-F3151DB3B839}"/>
    <hyperlink ref="A34" r:id="rId24" display="file:///new-reserve/finish-view-list/13642" xr:uid="{09250344-5AF6-7145-9B70-468A49911C54}"/>
    <hyperlink ref="A35" r:id="rId25" display="file:///new-reserve/finish-view-list/17729" xr:uid="{31A95C16-8C61-0D4B-9683-2BF885320AE3}"/>
    <hyperlink ref="A36" r:id="rId26" display="file:///new-reserve/finish-view-list/12039" xr:uid="{BCE5C6D3-82B2-1645-BCB0-66C765727905}"/>
    <hyperlink ref="A37" r:id="rId27" display="file:///new-reserve/finish-view-list/13654" xr:uid="{6757B973-7528-F845-962A-A0DECD3EAC9B}"/>
    <hyperlink ref="A38" r:id="rId28" display="file:///new-reserve/finish-view-list/13655" xr:uid="{906CB664-4838-A04D-82B1-6749BFBE6F34}"/>
    <hyperlink ref="A39" r:id="rId29" display="file:///new-reserve/finish-view-list/17732" xr:uid="{98551AE9-A8FC-8944-9385-351368470905}"/>
    <hyperlink ref="A40" r:id="rId30" display="file:///new-reserve/finish-view-list/13657" xr:uid="{57806631-FE9C-2941-9D91-75C7AE60CC31}"/>
    <hyperlink ref="A41" r:id="rId31" display="file:///new-reserve/finish-view-list/7245" xr:uid="{EB589E7E-57CC-564B-96AC-A45CD59C6E79}"/>
    <hyperlink ref="A43" r:id="rId32" display="file:///new-reserve/finish-view-list/13220" xr:uid="{C676A50E-2701-A44A-AA1B-B762223D2EDA}"/>
    <hyperlink ref="A44" r:id="rId33" display="file:///new-reserve/finish-view-list/13522" xr:uid="{E8FA3392-F548-B042-B3AC-9F7B8FDF64EF}"/>
    <hyperlink ref="A45" r:id="rId34" display="file:///new-reserve/finish-view-list/13646" xr:uid="{2D7463EA-5C58-B448-945E-0F3AC200C2F3}"/>
    <hyperlink ref="A46" r:id="rId35" display="file:///new-reserve/finish-view-list/13715" xr:uid="{A14A3F4D-5D60-BE49-9A4C-8AEF3C3D20E7}"/>
    <hyperlink ref="A47" r:id="rId36" display="file:///new-reserve/finish-view-list/18013" xr:uid="{6EBA5C35-D29B-2D4C-BDDF-6BAACA3D213F}"/>
    <hyperlink ref="A48" r:id="rId37" display="file:///new-reserve/finish-view-list/18819" xr:uid="{AA7F7F1E-66F3-9240-A3AB-6E9E3CFF5F53}"/>
    <hyperlink ref="A49" r:id="rId38" display="file:///new-reserve/finish-view-list/18830" xr:uid="{991953D5-2A43-824E-AB8A-3AD4E9457DC7}"/>
    <hyperlink ref="A50" r:id="rId39" display="file:///new-reserve/finish-view-list/18838" xr:uid="{381A92C4-8335-AB48-9A8D-55BB9C00B034}"/>
    <hyperlink ref="A51" r:id="rId40" display="file:///new-reserve/finish-view-list/19172" xr:uid="{90F8180A-8316-6B44-A8E8-5D8FBD00C3FB}"/>
  </hyperlink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7B80A-C99D-0140-B34A-8BB1A5D02C2D}">
  <sheetPr codeName="Planilha2"/>
  <dimension ref="A1:Y40"/>
  <sheetViews>
    <sheetView showGridLines="0" topLeftCell="T1" workbookViewId="0">
      <selection activeCell="V6" sqref="V6"/>
    </sheetView>
  </sheetViews>
  <sheetFormatPr baseColWidth="10" defaultColWidth="8.83203125" defaultRowHeight="15" x14ac:dyDescent="0.2"/>
  <cols>
    <col min="1" max="1" width="10.5" bestFit="1" customWidth="1"/>
    <col min="2" max="2" width="14.6640625" bestFit="1" customWidth="1"/>
    <col min="3" max="3" width="11.5" bestFit="1" customWidth="1"/>
    <col min="4" max="4" width="35.33203125" bestFit="1" customWidth="1"/>
    <col min="5" max="5" width="7.5" bestFit="1" customWidth="1"/>
    <col min="6" max="6" width="11.33203125" bestFit="1" customWidth="1"/>
    <col min="7" max="7" width="11.5" bestFit="1" customWidth="1"/>
    <col min="8" max="8" width="31.5" bestFit="1" customWidth="1"/>
    <col min="9" max="9" width="22.1640625" bestFit="1" customWidth="1"/>
    <col min="10" max="10" width="20.6640625" bestFit="1" customWidth="1"/>
    <col min="11" max="11" width="32.5" bestFit="1" customWidth="1"/>
    <col min="12" max="12" width="14" bestFit="1" customWidth="1"/>
    <col min="13" max="13" width="9.33203125" style="31" bestFit="1" customWidth="1"/>
    <col min="14" max="15" width="9.33203125" style="31" customWidth="1"/>
    <col min="16" max="16" width="7.83203125" bestFit="1" customWidth="1"/>
    <col min="17" max="17" width="6.33203125" bestFit="1" customWidth="1"/>
    <col min="18" max="18" width="4.33203125" bestFit="1" customWidth="1"/>
    <col min="19" max="19" width="7.6640625" bestFit="1" customWidth="1"/>
    <col min="20" max="20" width="7.5" bestFit="1" customWidth="1"/>
    <col min="25" max="25" width="18.1640625" bestFit="1" customWidth="1"/>
  </cols>
  <sheetData>
    <row r="1" spans="1:25" ht="30" x14ac:dyDescent="0.2">
      <c r="A1" s="17" t="s">
        <v>87</v>
      </c>
      <c r="B1" s="17" t="s">
        <v>88</v>
      </c>
      <c r="C1" s="17" t="s">
        <v>89</v>
      </c>
      <c r="D1" s="17" t="s">
        <v>90</v>
      </c>
      <c r="E1" s="17" t="s">
        <v>16</v>
      </c>
      <c r="F1" s="17" t="s">
        <v>91</v>
      </c>
      <c r="G1" s="17" t="s">
        <v>92</v>
      </c>
      <c r="H1" s="17" t="s">
        <v>160</v>
      </c>
      <c r="I1" s="17" t="s">
        <v>93</v>
      </c>
      <c r="J1" s="17" t="s">
        <v>94</v>
      </c>
      <c r="K1" s="17" t="s">
        <v>17</v>
      </c>
      <c r="L1" s="17" t="s">
        <v>95</v>
      </c>
      <c r="M1" s="23" t="s">
        <v>113</v>
      </c>
      <c r="N1" s="23" t="s">
        <v>114</v>
      </c>
      <c r="O1" s="23" t="s">
        <v>115</v>
      </c>
      <c r="P1" s="17" t="s">
        <v>97</v>
      </c>
      <c r="Q1" s="17" t="s">
        <v>98</v>
      </c>
      <c r="R1" s="17" t="s">
        <v>99</v>
      </c>
      <c r="S1" s="17" t="s">
        <v>100</v>
      </c>
      <c r="T1" s="17" t="s">
        <v>101</v>
      </c>
      <c r="U1" t="s">
        <v>36</v>
      </c>
      <c r="V1" t="s">
        <v>11</v>
      </c>
      <c r="W1" t="s">
        <v>18</v>
      </c>
      <c r="X1" t="s">
        <v>167</v>
      </c>
      <c r="Y1" t="s">
        <v>168</v>
      </c>
    </row>
    <row r="2" spans="1:25" ht="30" x14ac:dyDescent="0.2">
      <c r="A2" t="s">
        <v>193</v>
      </c>
      <c r="B2" s="28" t="s">
        <v>162</v>
      </c>
      <c r="C2" s="28" t="s">
        <v>102</v>
      </c>
      <c r="D2" s="28" t="s">
        <v>103</v>
      </c>
      <c r="E2" s="28" t="s">
        <v>164</v>
      </c>
      <c r="F2" s="19">
        <v>0.20833333333333334</v>
      </c>
      <c r="G2" s="19">
        <v>6.25E-2</v>
      </c>
      <c r="H2" s="28" t="s">
        <v>107</v>
      </c>
      <c r="I2" s="28" t="s">
        <v>104</v>
      </c>
      <c r="J2" s="28" t="s">
        <v>195</v>
      </c>
      <c r="K2" s="28" t="s">
        <v>194</v>
      </c>
      <c r="L2" s="28">
        <v>35999793080</v>
      </c>
      <c r="M2" s="24">
        <v>4</v>
      </c>
      <c r="N2" s="24">
        <v>0</v>
      </c>
      <c r="O2" s="24">
        <v>0</v>
      </c>
      <c r="P2" s="20"/>
      <c r="Q2" s="28" t="s">
        <v>106</v>
      </c>
      <c r="R2" s="28" t="s">
        <v>106</v>
      </c>
      <c r="S2" s="28" t="s">
        <v>106</v>
      </c>
      <c r="T2" s="28" t="s">
        <v>106</v>
      </c>
      <c r="U2" t="s">
        <v>197</v>
      </c>
      <c r="V2">
        <v>1</v>
      </c>
      <c r="W2" t="s">
        <v>39</v>
      </c>
      <c r="X2">
        <v>47</v>
      </c>
      <c r="Y2" s="32">
        <v>0.18055555555555555</v>
      </c>
    </row>
    <row r="3" spans="1:25" ht="30" x14ac:dyDescent="0.2">
      <c r="A3" t="s">
        <v>206</v>
      </c>
      <c r="B3" s="28" t="s">
        <v>13</v>
      </c>
      <c r="C3" s="28" t="s">
        <v>102</v>
      </c>
      <c r="D3" s="28" t="s">
        <v>103</v>
      </c>
      <c r="E3" s="28" t="s">
        <v>164</v>
      </c>
      <c r="F3" s="19">
        <v>0.20833333333333334</v>
      </c>
      <c r="G3" s="19">
        <v>3.4722222222222224E-2</v>
      </c>
      <c r="H3" s="28" t="s">
        <v>143</v>
      </c>
      <c r="I3" s="28" t="s">
        <v>104</v>
      </c>
      <c r="J3" s="28" t="s">
        <v>153</v>
      </c>
      <c r="K3" s="28" t="s">
        <v>207</v>
      </c>
      <c r="L3" s="28">
        <v>51999951060</v>
      </c>
      <c r="M3" s="24">
        <v>3</v>
      </c>
      <c r="N3" s="24">
        <v>0</v>
      </c>
      <c r="O3" s="24">
        <v>0</v>
      </c>
      <c r="P3" s="20"/>
      <c r="Q3" s="28" t="s">
        <v>106</v>
      </c>
      <c r="R3" s="28" t="s">
        <v>106</v>
      </c>
      <c r="S3" s="28" t="s">
        <v>106</v>
      </c>
      <c r="T3" s="28" t="s">
        <v>106</v>
      </c>
      <c r="V3">
        <v>1</v>
      </c>
      <c r="W3" t="s">
        <v>38</v>
      </c>
      <c r="X3">
        <v>10</v>
      </c>
      <c r="Y3" s="32">
        <v>0.18055555555555555</v>
      </c>
    </row>
    <row r="4" spans="1:25" ht="30" x14ac:dyDescent="0.2">
      <c r="A4" t="s">
        <v>208</v>
      </c>
      <c r="B4" s="28" t="s">
        <v>13</v>
      </c>
      <c r="C4" s="28" t="s">
        <v>102</v>
      </c>
      <c r="D4" s="28" t="s">
        <v>103</v>
      </c>
      <c r="E4" s="28" t="s">
        <v>164</v>
      </c>
      <c r="F4" s="19">
        <v>0.20833333333333334</v>
      </c>
      <c r="G4" s="19">
        <v>3.4722222222222224E-2</v>
      </c>
      <c r="H4" s="28" t="s">
        <v>143</v>
      </c>
      <c r="I4" s="28" t="s">
        <v>104</v>
      </c>
      <c r="J4" s="28" t="s">
        <v>153</v>
      </c>
      <c r="K4" s="28" t="s">
        <v>209</v>
      </c>
      <c r="L4" s="28">
        <v>51999951060</v>
      </c>
      <c r="M4" s="24">
        <v>2</v>
      </c>
      <c r="N4" s="24">
        <v>0</v>
      </c>
      <c r="O4" s="24">
        <v>0</v>
      </c>
      <c r="P4" s="20"/>
      <c r="Q4" s="28" t="s">
        <v>106</v>
      </c>
      <c r="R4" s="28" t="s">
        <v>106</v>
      </c>
      <c r="S4" s="28" t="s">
        <v>106</v>
      </c>
      <c r="T4" s="28" t="s">
        <v>106</v>
      </c>
      <c r="V4">
        <v>1</v>
      </c>
      <c r="W4" t="s">
        <v>38</v>
      </c>
      <c r="X4">
        <v>10</v>
      </c>
      <c r="Y4" s="32">
        <v>0.18055555555555555</v>
      </c>
    </row>
    <row r="5" spans="1:25" ht="30" x14ac:dyDescent="0.2">
      <c r="A5" t="s">
        <v>198</v>
      </c>
      <c r="B5" s="28" t="s">
        <v>13</v>
      </c>
      <c r="C5" s="28" t="s">
        <v>102</v>
      </c>
      <c r="D5" s="28" t="s">
        <v>103</v>
      </c>
      <c r="E5" s="28" t="s">
        <v>200</v>
      </c>
      <c r="F5" s="19">
        <v>0.18055555555555555</v>
      </c>
      <c r="G5" s="19">
        <v>4.1666666666666664E-2</v>
      </c>
      <c r="H5" s="28" t="s">
        <v>120</v>
      </c>
      <c r="I5" s="28" t="s">
        <v>104</v>
      </c>
      <c r="J5" s="28" t="s">
        <v>178</v>
      </c>
      <c r="K5" s="28" t="s">
        <v>199</v>
      </c>
      <c r="L5" s="21"/>
      <c r="M5" s="24">
        <v>5</v>
      </c>
      <c r="N5" s="24">
        <v>0</v>
      </c>
      <c r="O5" s="24">
        <v>0</v>
      </c>
      <c r="P5" s="20"/>
      <c r="Q5" s="28" t="s">
        <v>106</v>
      </c>
      <c r="R5" s="28" t="s">
        <v>106</v>
      </c>
      <c r="S5" s="28" t="s">
        <v>106</v>
      </c>
      <c r="T5" s="28" t="s">
        <v>106</v>
      </c>
      <c r="V5">
        <v>1</v>
      </c>
      <c r="W5" t="s">
        <v>39</v>
      </c>
      <c r="X5">
        <v>49</v>
      </c>
      <c r="Y5" s="32">
        <v>0.18055555555555555</v>
      </c>
    </row>
    <row r="6" spans="1:25" ht="30" x14ac:dyDescent="0.2">
      <c r="A6" t="s">
        <v>204</v>
      </c>
      <c r="B6" s="28" t="s">
        <v>13</v>
      </c>
      <c r="C6" s="28" t="s">
        <v>102</v>
      </c>
      <c r="D6" s="28" t="s">
        <v>103</v>
      </c>
      <c r="E6" s="28" t="s">
        <v>164</v>
      </c>
      <c r="F6" s="19">
        <v>0.20833333333333334</v>
      </c>
      <c r="G6" s="19">
        <v>4.5138888888888888E-2</v>
      </c>
      <c r="H6" s="28" t="s">
        <v>122</v>
      </c>
      <c r="I6" s="28" t="s">
        <v>104</v>
      </c>
      <c r="J6" s="28" t="s">
        <v>153</v>
      </c>
      <c r="K6" s="28" t="s">
        <v>205</v>
      </c>
      <c r="L6" s="21"/>
      <c r="M6" s="24">
        <v>2</v>
      </c>
      <c r="N6" s="24">
        <v>0</v>
      </c>
      <c r="O6" s="24">
        <v>0</v>
      </c>
      <c r="P6" s="20"/>
      <c r="Q6" s="28" t="s">
        <v>106</v>
      </c>
      <c r="R6" s="28" t="s">
        <v>106</v>
      </c>
      <c r="S6" s="28" t="s">
        <v>106</v>
      </c>
      <c r="T6" s="28" t="s">
        <v>106</v>
      </c>
      <c r="V6">
        <v>1</v>
      </c>
      <c r="W6" t="s">
        <v>48</v>
      </c>
      <c r="X6">
        <v>65</v>
      </c>
      <c r="Y6" s="32">
        <v>0.18055555555555555</v>
      </c>
    </row>
    <row r="7" spans="1:25" ht="30" x14ac:dyDescent="0.2">
      <c r="A7" t="s">
        <v>220</v>
      </c>
      <c r="B7" s="28" t="s">
        <v>13</v>
      </c>
      <c r="C7" s="28" t="s">
        <v>102</v>
      </c>
      <c r="D7" s="28" t="s">
        <v>103</v>
      </c>
      <c r="E7" s="28" t="s">
        <v>165</v>
      </c>
      <c r="F7" s="19">
        <v>0.52430555555555558</v>
      </c>
      <c r="G7" s="19">
        <v>0.34375</v>
      </c>
      <c r="H7" s="28" t="s">
        <v>109</v>
      </c>
      <c r="I7" s="28" t="s">
        <v>104</v>
      </c>
      <c r="J7" s="28" t="s">
        <v>153</v>
      </c>
      <c r="K7" s="28" t="s">
        <v>221</v>
      </c>
      <c r="L7" s="21"/>
      <c r="M7" s="24">
        <v>4</v>
      </c>
      <c r="N7" s="24">
        <v>0</v>
      </c>
      <c r="O7" s="24">
        <v>0</v>
      </c>
      <c r="P7" s="20"/>
      <c r="Q7" s="28" t="s">
        <v>106</v>
      </c>
      <c r="R7" s="28" t="s">
        <v>106</v>
      </c>
      <c r="S7" s="28" t="s">
        <v>106</v>
      </c>
      <c r="T7" s="28" t="s">
        <v>106</v>
      </c>
      <c r="U7" t="s">
        <v>222</v>
      </c>
      <c r="V7">
        <v>2</v>
      </c>
      <c r="W7" t="s">
        <v>38</v>
      </c>
      <c r="X7">
        <v>13</v>
      </c>
      <c r="Y7" s="32">
        <v>0.48958333333333331</v>
      </c>
    </row>
    <row r="8" spans="1:25" ht="30" x14ac:dyDescent="0.2">
      <c r="A8" t="s">
        <v>215</v>
      </c>
      <c r="B8" s="28" t="s">
        <v>13</v>
      </c>
      <c r="C8" s="28" t="s">
        <v>102</v>
      </c>
      <c r="D8" s="28" t="s">
        <v>103</v>
      </c>
      <c r="E8" s="28" t="s">
        <v>217</v>
      </c>
      <c r="F8" s="19">
        <v>0.51388888888888884</v>
      </c>
      <c r="G8" s="19">
        <v>0.35069444444444442</v>
      </c>
      <c r="H8" s="28" t="s">
        <v>144</v>
      </c>
      <c r="I8" s="28" t="s">
        <v>104</v>
      </c>
      <c r="J8" s="28" t="s">
        <v>153</v>
      </c>
      <c r="K8" s="28" t="s">
        <v>216</v>
      </c>
      <c r="L8" s="28">
        <v>31988533982</v>
      </c>
      <c r="M8" s="24">
        <v>2</v>
      </c>
      <c r="N8" s="24">
        <v>0</v>
      </c>
      <c r="O8" s="24">
        <v>0</v>
      </c>
      <c r="P8" s="20"/>
      <c r="Q8" s="28" t="s">
        <v>106</v>
      </c>
      <c r="R8" s="28" t="s">
        <v>106</v>
      </c>
      <c r="S8" s="28" t="s">
        <v>106</v>
      </c>
      <c r="T8" s="28" t="s">
        <v>106</v>
      </c>
      <c r="V8">
        <v>2</v>
      </c>
      <c r="W8" t="s">
        <v>39</v>
      </c>
      <c r="X8">
        <v>38</v>
      </c>
      <c r="Y8" s="32">
        <v>0.48958333333333331</v>
      </c>
    </row>
    <row r="9" spans="1:25" ht="30" x14ac:dyDescent="0.2">
      <c r="A9" t="s">
        <v>210</v>
      </c>
      <c r="B9" s="28" t="s">
        <v>13</v>
      </c>
      <c r="C9" s="28" t="s">
        <v>102</v>
      </c>
      <c r="D9" s="28" t="s">
        <v>103</v>
      </c>
      <c r="E9" s="28" t="s">
        <v>212</v>
      </c>
      <c r="F9" s="19">
        <v>0.48958333333333331</v>
      </c>
      <c r="G9" s="19">
        <v>0.35416666666666669</v>
      </c>
      <c r="H9" s="28" t="s">
        <v>120</v>
      </c>
      <c r="I9" s="28" t="s">
        <v>104</v>
      </c>
      <c r="J9" s="28" t="s">
        <v>178</v>
      </c>
      <c r="K9" s="28" t="s">
        <v>211</v>
      </c>
      <c r="L9" s="21"/>
      <c r="M9" s="24">
        <v>2</v>
      </c>
      <c r="N9" s="24">
        <v>0</v>
      </c>
      <c r="O9" s="24">
        <v>0</v>
      </c>
      <c r="P9" s="20"/>
      <c r="Q9" s="28" t="s">
        <v>106</v>
      </c>
      <c r="R9" s="28" t="s">
        <v>106</v>
      </c>
      <c r="S9" s="28" t="s">
        <v>106</v>
      </c>
      <c r="T9" s="28" t="s">
        <v>106</v>
      </c>
      <c r="V9">
        <v>2</v>
      </c>
      <c r="W9" t="s">
        <v>39</v>
      </c>
      <c r="X9">
        <v>49</v>
      </c>
      <c r="Y9" s="32">
        <v>0.48958333333333331</v>
      </c>
    </row>
    <row r="10" spans="1:25" ht="30" x14ac:dyDescent="0.2">
      <c r="A10" t="s">
        <v>213</v>
      </c>
      <c r="B10" s="28" t="s">
        <v>13</v>
      </c>
      <c r="C10" s="28" t="s">
        <v>102</v>
      </c>
      <c r="D10" s="28" t="s">
        <v>103</v>
      </c>
      <c r="E10" s="28" t="s">
        <v>212</v>
      </c>
      <c r="F10" s="19">
        <v>0.48958333333333331</v>
      </c>
      <c r="G10" s="19">
        <v>0.35416666666666669</v>
      </c>
      <c r="H10" s="28" t="s">
        <v>120</v>
      </c>
      <c r="I10" s="28" t="s">
        <v>104</v>
      </c>
      <c r="J10" s="28" t="s">
        <v>178</v>
      </c>
      <c r="K10" s="28" t="s">
        <v>214</v>
      </c>
      <c r="L10" s="21"/>
      <c r="M10" s="24">
        <v>2</v>
      </c>
      <c r="N10" s="24">
        <v>1</v>
      </c>
      <c r="O10" s="24">
        <v>0</v>
      </c>
      <c r="P10" s="20"/>
      <c r="Q10" s="28" t="s">
        <v>106</v>
      </c>
      <c r="R10" s="28" t="s">
        <v>106</v>
      </c>
      <c r="S10" s="28" t="s">
        <v>106</v>
      </c>
      <c r="T10" s="28" t="s">
        <v>106</v>
      </c>
      <c r="V10">
        <v>2</v>
      </c>
      <c r="W10" t="s">
        <v>39</v>
      </c>
      <c r="X10">
        <v>49</v>
      </c>
      <c r="Y10" s="32">
        <v>0.48958333333333331</v>
      </c>
    </row>
    <row r="11" spans="1:25" ht="30" x14ac:dyDescent="0.2">
      <c r="A11" t="s">
        <v>218</v>
      </c>
      <c r="B11" s="28" t="s">
        <v>13</v>
      </c>
      <c r="C11" s="28" t="s">
        <v>102</v>
      </c>
      <c r="D11" s="28" t="s">
        <v>103</v>
      </c>
      <c r="E11" s="28" t="s">
        <v>217</v>
      </c>
      <c r="F11" s="19">
        <v>0.51388888888888884</v>
      </c>
      <c r="G11" s="19">
        <v>0.3611111111111111</v>
      </c>
      <c r="H11" s="28" t="s">
        <v>141</v>
      </c>
      <c r="I11" s="28" t="s">
        <v>104</v>
      </c>
      <c r="J11" s="28" t="s">
        <v>153</v>
      </c>
      <c r="K11" s="28" t="s">
        <v>219</v>
      </c>
      <c r="L11" s="28">
        <v>48999238884</v>
      </c>
      <c r="M11" s="24">
        <v>2</v>
      </c>
      <c r="N11" s="24">
        <v>0</v>
      </c>
      <c r="O11" s="24">
        <v>0</v>
      </c>
      <c r="P11" s="20"/>
      <c r="Q11" s="28" t="s">
        <v>106</v>
      </c>
      <c r="R11" s="28" t="s">
        <v>106</v>
      </c>
      <c r="S11" s="28" t="s">
        <v>106</v>
      </c>
      <c r="T11" s="28" t="s">
        <v>106</v>
      </c>
      <c r="V11">
        <v>2</v>
      </c>
      <c r="W11" t="s">
        <v>40</v>
      </c>
      <c r="X11">
        <v>89</v>
      </c>
      <c r="Y11" s="32">
        <v>0.48958333333333331</v>
      </c>
    </row>
    <row r="12" spans="1:25" ht="30" x14ac:dyDescent="0.2">
      <c r="A12" t="s">
        <v>223</v>
      </c>
      <c r="B12" s="28" t="s">
        <v>13</v>
      </c>
      <c r="C12" s="28" t="s">
        <v>102</v>
      </c>
      <c r="D12" s="28" t="s">
        <v>103</v>
      </c>
      <c r="E12" s="28" t="s">
        <v>165</v>
      </c>
      <c r="F12" s="19">
        <v>0.52430555555555558</v>
      </c>
      <c r="G12" s="19">
        <v>0.36458333333333331</v>
      </c>
      <c r="H12" s="28" t="s">
        <v>150</v>
      </c>
      <c r="I12" s="28" t="s">
        <v>104</v>
      </c>
      <c r="J12" s="28" t="s">
        <v>153</v>
      </c>
      <c r="K12" s="28" t="s">
        <v>224</v>
      </c>
      <c r="L12" s="21"/>
      <c r="M12" s="24">
        <v>2</v>
      </c>
      <c r="N12" s="24">
        <v>0</v>
      </c>
      <c r="O12" s="24">
        <v>0</v>
      </c>
      <c r="P12" s="20"/>
      <c r="Q12" s="28" t="s">
        <v>106</v>
      </c>
      <c r="R12" s="28" t="s">
        <v>106</v>
      </c>
      <c r="S12" s="28" t="s">
        <v>106</v>
      </c>
      <c r="T12" s="28" t="s">
        <v>106</v>
      </c>
      <c r="V12">
        <v>2</v>
      </c>
      <c r="W12" t="s">
        <v>40</v>
      </c>
      <c r="X12">
        <v>100</v>
      </c>
      <c r="Y12" s="32">
        <v>0.48958333333333331</v>
      </c>
    </row>
    <row r="13" spans="1:25" ht="30" x14ac:dyDescent="0.2">
      <c r="A13" t="s">
        <v>231</v>
      </c>
      <c r="B13" s="28" t="s">
        <v>13</v>
      </c>
      <c r="C13" s="28" t="s">
        <v>102</v>
      </c>
      <c r="D13" s="28" t="s">
        <v>103</v>
      </c>
      <c r="E13" s="28" t="s">
        <v>158</v>
      </c>
      <c r="F13" s="19">
        <v>0.70486111111111116</v>
      </c>
      <c r="G13" s="19">
        <v>0.55902777777777779</v>
      </c>
      <c r="H13" s="28" t="s">
        <v>143</v>
      </c>
      <c r="I13" s="28" t="s">
        <v>104</v>
      </c>
      <c r="J13" s="28" t="s">
        <v>153</v>
      </c>
      <c r="K13" s="28" t="s">
        <v>232</v>
      </c>
      <c r="L13" s="28">
        <v>66999791044</v>
      </c>
      <c r="M13" s="24">
        <v>3</v>
      </c>
      <c r="N13" s="24">
        <v>0</v>
      </c>
      <c r="O13" s="24">
        <v>0</v>
      </c>
      <c r="P13" s="20"/>
      <c r="Q13" s="28" t="s">
        <v>106</v>
      </c>
      <c r="R13" s="28" t="s">
        <v>106</v>
      </c>
      <c r="S13" s="28" t="s">
        <v>106</v>
      </c>
      <c r="T13" s="28" t="s">
        <v>106</v>
      </c>
      <c r="V13">
        <v>3</v>
      </c>
      <c r="W13" t="s">
        <v>38</v>
      </c>
      <c r="X13">
        <v>10</v>
      </c>
      <c r="Y13" s="32">
        <v>0.70486111111111116</v>
      </c>
    </row>
    <row r="14" spans="1:25" ht="30" x14ac:dyDescent="0.2">
      <c r="A14" t="s">
        <v>233</v>
      </c>
      <c r="B14" s="28" t="s">
        <v>13</v>
      </c>
      <c r="C14" s="28" t="s">
        <v>102</v>
      </c>
      <c r="D14" s="28" t="s">
        <v>103</v>
      </c>
      <c r="E14" s="28" t="s">
        <v>158</v>
      </c>
      <c r="F14" s="19">
        <v>0.70486111111111116</v>
      </c>
      <c r="G14" s="19">
        <v>0.55902777777777779</v>
      </c>
      <c r="H14" s="28" t="s">
        <v>143</v>
      </c>
      <c r="I14" s="28" t="s">
        <v>104</v>
      </c>
      <c r="J14" s="28" t="s">
        <v>153</v>
      </c>
      <c r="K14" s="28" t="s">
        <v>234</v>
      </c>
      <c r="L14" s="28">
        <v>65999461271</v>
      </c>
      <c r="M14" s="24">
        <v>1</v>
      </c>
      <c r="N14" s="24">
        <v>0</v>
      </c>
      <c r="O14" s="24">
        <v>0</v>
      </c>
      <c r="P14" s="20"/>
      <c r="Q14" s="28" t="s">
        <v>106</v>
      </c>
      <c r="R14" s="28" t="s">
        <v>106</v>
      </c>
      <c r="S14" s="28" t="s">
        <v>106</v>
      </c>
      <c r="T14" s="28" t="s">
        <v>106</v>
      </c>
      <c r="V14">
        <v>3</v>
      </c>
      <c r="W14" t="s">
        <v>38</v>
      </c>
      <c r="X14">
        <v>10</v>
      </c>
      <c r="Y14" s="32">
        <v>0.70486111111111116</v>
      </c>
    </row>
    <row r="15" spans="1:25" ht="30" x14ac:dyDescent="0.2">
      <c r="A15" t="s">
        <v>235</v>
      </c>
      <c r="B15" s="28" t="s">
        <v>13</v>
      </c>
      <c r="C15" s="28" t="s">
        <v>102</v>
      </c>
      <c r="D15" s="28" t="s">
        <v>103</v>
      </c>
      <c r="E15" s="28" t="s">
        <v>166</v>
      </c>
      <c r="F15" s="19">
        <v>0.71180555555555558</v>
      </c>
      <c r="G15" s="19">
        <v>0.5625</v>
      </c>
      <c r="H15" s="28" t="s">
        <v>142</v>
      </c>
      <c r="I15" s="28" t="s">
        <v>104</v>
      </c>
      <c r="J15" s="28" t="s">
        <v>157</v>
      </c>
      <c r="K15" s="28" t="s">
        <v>236</v>
      </c>
      <c r="L15" s="28">
        <v>67981856622</v>
      </c>
      <c r="M15" s="24">
        <v>2</v>
      </c>
      <c r="N15" s="24">
        <v>0</v>
      </c>
      <c r="O15" s="24">
        <v>0</v>
      </c>
      <c r="P15" s="20"/>
      <c r="Q15" s="28" t="s">
        <v>106</v>
      </c>
      <c r="R15" s="28" t="s">
        <v>106</v>
      </c>
      <c r="S15" s="28" t="s">
        <v>106</v>
      </c>
      <c r="T15" s="28" t="s">
        <v>106</v>
      </c>
      <c r="V15">
        <v>3</v>
      </c>
      <c r="W15" t="s">
        <v>38</v>
      </c>
      <c r="X15">
        <v>23</v>
      </c>
      <c r="Y15" s="32">
        <v>0.70486111111111116</v>
      </c>
    </row>
    <row r="16" spans="1:25" ht="30" x14ac:dyDescent="0.2">
      <c r="A16" t="s">
        <v>265</v>
      </c>
      <c r="B16" s="28" t="s">
        <v>13</v>
      </c>
      <c r="C16" s="28" t="s">
        <v>102</v>
      </c>
      <c r="D16" s="28" t="s">
        <v>103</v>
      </c>
      <c r="E16" s="28" t="s">
        <v>149</v>
      </c>
      <c r="F16" s="19">
        <v>0.74652777777777779</v>
      </c>
      <c r="G16" s="19">
        <v>0.57638888888888884</v>
      </c>
      <c r="H16" s="28" t="s">
        <v>119</v>
      </c>
      <c r="I16" s="28" t="s">
        <v>104</v>
      </c>
      <c r="J16" s="28" t="s">
        <v>185</v>
      </c>
      <c r="K16" s="28" t="s">
        <v>266</v>
      </c>
      <c r="L16" s="28">
        <v>45988034454</v>
      </c>
      <c r="M16" s="24">
        <v>2</v>
      </c>
      <c r="N16" s="24">
        <v>0</v>
      </c>
      <c r="O16" s="24">
        <v>0</v>
      </c>
      <c r="P16" s="20"/>
      <c r="Q16" s="28" t="s">
        <v>106</v>
      </c>
      <c r="R16" s="28" t="s">
        <v>106</v>
      </c>
      <c r="S16" s="28" t="s">
        <v>106</v>
      </c>
      <c r="T16" s="28" t="s">
        <v>106</v>
      </c>
      <c r="U16" t="s">
        <v>267</v>
      </c>
      <c r="V16">
        <v>4</v>
      </c>
      <c r="W16" t="s">
        <v>38</v>
      </c>
      <c r="X16">
        <v>11</v>
      </c>
      <c r="Y16" s="32">
        <v>0.72222222222222221</v>
      </c>
    </row>
    <row r="17" spans="1:25" ht="30" x14ac:dyDescent="0.2">
      <c r="A17" t="s">
        <v>257</v>
      </c>
      <c r="B17" s="28" t="s">
        <v>13</v>
      </c>
      <c r="C17" s="28" t="s">
        <v>102</v>
      </c>
      <c r="D17" s="28" t="s">
        <v>103</v>
      </c>
      <c r="E17" s="28" t="s">
        <v>149</v>
      </c>
      <c r="F17" s="19">
        <v>0.74652777777777779</v>
      </c>
      <c r="G17" s="19">
        <v>0.57638888888888884</v>
      </c>
      <c r="H17" s="28" t="s">
        <v>119</v>
      </c>
      <c r="I17" s="28" t="s">
        <v>104</v>
      </c>
      <c r="J17" s="28" t="s">
        <v>153</v>
      </c>
      <c r="K17" s="28" t="s">
        <v>258</v>
      </c>
      <c r="L17" s="21"/>
      <c r="M17" s="24">
        <v>2</v>
      </c>
      <c r="N17" s="24">
        <v>0</v>
      </c>
      <c r="O17" s="24">
        <v>0</v>
      </c>
      <c r="P17" s="20"/>
      <c r="Q17" s="28" t="s">
        <v>106</v>
      </c>
      <c r="R17" s="28" t="s">
        <v>106</v>
      </c>
      <c r="S17" s="28" t="s">
        <v>106</v>
      </c>
      <c r="T17" s="28" t="s">
        <v>106</v>
      </c>
      <c r="V17">
        <v>4</v>
      </c>
      <c r="W17" t="s">
        <v>38</v>
      </c>
      <c r="X17">
        <v>11</v>
      </c>
      <c r="Y17" s="32">
        <v>0.72222222222222221</v>
      </c>
    </row>
    <row r="18" spans="1:25" ht="30" x14ac:dyDescent="0.2">
      <c r="A18" t="s">
        <v>255</v>
      </c>
      <c r="B18" s="28" t="s">
        <v>13</v>
      </c>
      <c r="C18" s="28" t="s">
        <v>102</v>
      </c>
      <c r="D18" s="28" t="s">
        <v>103</v>
      </c>
      <c r="E18" s="28" t="s">
        <v>149</v>
      </c>
      <c r="F18" s="19">
        <v>0.74652777777777779</v>
      </c>
      <c r="G18" s="19">
        <v>0.57986111111111116</v>
      </c>
      <c r="H18" s="28" t="s">
        <v>116</v>
      </c>
      <c r="I18" s="28" t="s">
        <v>104</v>
      </c>
      <c r="J18" s="28" t="s">
        <v>153</v>
      </c>
      <c r="K18" s="28" t="s">
        <v>256</v>
      </c>
      <c r="L18" s="28">
        <v>11966534720</v>
      </c>
      <c r="M18" s="24">
        <v>2</v>
      </c>
      <c r="N18" s="24">
        <v>0</v>
      </c>
      <c r="O18" s="24">
        <v>0</v>
      </c>
      <c r="P18" s="20"/>
      <c r="Q18" s="28" t="s">
        <v>106</v>
      </c>
      <c r="R18" s="28" t="s">
        <v>106</v>
      </c>
      <c r="S18" s="28" t="s">
        <v>106</v>
      </c>
      <c r="T18" s="28" t="s">
        <v>106</v>
      </c>
      <c r="V18">
        <v>4</v>
      </c>
      <c r="W18" t="s">
        <v>38</v>
      </c>
      <c r="X18">
        <v>14</v>
      </c>
      <c r="Y18" s="32">
        <v>0.72222222222222221</v>
      </c>
    </row>
    <row r="19" spans="1:25" ht="30" x14ac:dyDescent="0.2">
      <c r="A19" t="s">
        <v>251</v>
      </c>
      <c r="B19" s="28" t="s">
        <v>13</v>
      </c>
      <c r="C19" s="28" t="s">
        <v>102</v>
      </c>
      <c r="D19" s="28" t="s">
        <v>103</v>
      </c>
      <c r="E19" s="28" t="s">
        <v>149</v>
      </c>
      <c r="F19" s="19">
        <v>0.74652777777777779</v>
      </c>
      <c r="G19" s="19">
        <v>0.58333333333333337</v>
      </c>
      <c r="H19" s="28" t="s">
        <v>108</v>
      </c>
      <c r="I19" s="28" t="s">
        <v>104</v>
      </c>
      <c r="J19" s="28" t="s">
        <v>153</v>
      </c>
      <c r="K19" s="28" t="s">
        <v>252</v>
      </c>
      <c r="L19" s="28">
        <v>66996822314</v>
      </c>
      <c r="M19" s="24">
        <v>2</v>
      </c>
      <c r="N19" s="24">
        <v>0</v>
      </c>
      <c r="O19" s="24">
        <v>0</v>
      </c>
      <c r="P19" s="20"/>
      <c r="Q19" s="28" t="s">
        <v>106</v>
      </c>
      <c r="R19" s="28" t="s">
        <v>106</v>
      </c>
      <c r="S19" s="28" t="s">
        <v>106</v>
      </c>
      <c r="T19" s="28" t="s">
        <v>106</v>
      </c>
      <c r="V19">
        <v>4</v>
      </c>
      <c r="W19" t="s">
        <v>38</v>
      </c>
      <c r="X19">
        <v>30</v>
      </c>
      <c r="Y19" s="32">
        <v>0.72222222222222221</v>
      </c>
    </row>
    <row r="20" spans="1:25" ht="30" x14ac:dyDescent="0.2">
      <c r="A20" t="s">
        <v>239</v>
      </c>
      <c r="B20" s="28" t="s">
        <v>13</v>
      </c>
      <c r="C20" s="28" t="s">
        <v>102</v>
      </c>
      <c r="D20" s="28" t="s">
        <v>103</v>
      </c>
      <c r="E20" s="28" t="s">
        <v>148</v>
      </c>
      <c r="F20" s="19">
        <v>0.72222222222222221</v>
      </c>
      <c r="G20" s="19">
        <v>0.59027777777777779</v>
      </c>
      <c r="H20" s="28" t="s">
        <v>144</v>
      </c>
      <c r="I20" s="28" t="s">
        <v>104</v>
      </c>
      <c r="J20" s="28" t="s">
        <v>153</v>
      </c>
      <c r="K20" s="28" t="s">
        <v>240</v>
      </c>
      <c r="L20" s="28">
        <v>12988375546</v>
      </c>
      <c r="M20" s="24">
        <v>2</v>
      </c>
      <c r="N20" s="24">
        <v>0</v>
      </c>
      <c r="O20" s="24">
        <v>0</v>
      </c>
      <c r="P20" s="20"/>
      <c r="Q20" s="28" t="s">
        <v>106</v>
      </c>
      <c r="R20" s="28" t="s">
        <v>106</v>
      </c>
      <c r="S20" s="28" t="s">
        <v>106</v>
      </c>
      <c r="T20" s="28" t="s">
        <v>106</v>
      </c>
      <c r="V20">
        <v>4</v>
      </c>
      <c r="W20" t="s">
        <v>39</v>
      </c>
      <c r="X20">
        <v>38</v>
      </c>
      <c r="Y20" s="32">
        <v>0.72222222222222221</v>
      </c>
    </row>
    <row r="21" spans="1:25" ht="30" x14ac:dyDescent="0.2">
      <c r="A21" t="s">
        <v>253</v>
      </c>
      <c r="B21" s="28" t="s">
        <v>13</v>
      </c>
      <c r="C21" s="28" t="s">
        <v>102</v>
      </c>
      <c r="D21" s="28" t="s">
        <v>103</v>
      </c>
      <c r="E21" s="28" t="s">
        <v>149</v>
      </c>
      <c r="F21" s="19">
        <v>0.74652777777777779</v>
      </c>
      <c r="G21" s="19">
        <v>0.59375</v>
      </c>
      <c r="H21" s="28" t="s">
        <v>145</v>
      </c>
      <c r="I21" s="28" t="s">
        <v>104</v>
      </c>
      <c r="J21" s="28" t="s">
        <v>153</v>
      </c>
      <c r="K21" s="28" t="s">
        <v>254</v>
      </c>
      <c r="L21" s="28">
        <v>11984277053</v>
      </c>
      <c r="M21" s="24">
        <v>2</v>
      </c>
      <c r="N21" s="24">
        <v>0</v>
      </c>
      <c r="O21" s="24">
        <v>0</v>
      </c>
      <c r="P21" s="20"/>
      <c r="Q21" s="28" t="s">
        <v>106</v>
      </c>
      <c r="R21" s="28" t="s">
        <v>106</v>
      </c>
      <c r="S21" s="28" t="s">
        <v>106</v>
      </c>
      <c r="T21" s="28" t="s">
        <v>106</v>
      </c>
      <c r="V21">
        <v>4</v>
      </c>
      <c r="W21" t="s">
        <v>39</v>
      </c>
      <c r="X21">
        <v>39</v>
      </c>
      <c r="Y21" s="32">
        <v>0.72222222222222221</v>
      </c>
    </row>
    <row r="22" spans="1:25" ht="30" x14ac:dyDescent="0.2">
      <c r="A22" t="s">
        <v>241</v>
      </c>
      <c r="B22" s="28" t="s">
        <v>13</v>
      </c>
      <c r="C22" s="28" t="s">
        <v>102</v>
      </c>
      <c r="D22" s="28" t="s">
        <v>103</v>
      </c>
      <c r="E22" s="28" t="s">
        <v>148</v>
      </c>
      <c r="F22" s="19">
        <v>0.72222222222222221</v>
      </c>
      <c r="G22" s="19">
        <v>0.59722222222222221</v>
      </c>
      <c r="H22" s="28" t="s">
        <v>118</v>
      </c>
      <c r="I22" s="28" t="s">
        <v>104</v>
      </c>
      <c r="J22" s="28" t="s">
        <v>153</v>
      </c>
      <c r="K22" s="28" t="s">
        <v>242</v>
      </c>
      <c r="L22" s="28" t="s">
        <v>243</v>
      </c>
      <c r="M22" s="24">
        <v>2</v>
      </c>
      <c r="N22" s="24">
        <v>0</v>
      </c>
      <c r="O22" s="24">
        <v>0</v>
      </c>
      <c r="P22" s="20"/>
      <c r="Q22" s="28" t="s">
        <v>106</v>
      </c>
      <c r="R22" s="28" t="s">
        <v>106</v>
      </c>
      <c r="S22" s="28" t="s">
        <v>106</v>
      </c>
      <c r="T22" s="28" t="s">
        <v>106</v>
      </c>
      <c r="V22">
        <v>4</v>
      </c>
      <c r="W22" t="s">
        <v>39</v>
      </c>
      <c r="X22">
        <v>42</v>
      </c>
      <c r="Y22" s="32">
        <v>0.72222222222222221</v>
      </c>
    </row>
    <row r="23" spans="1:25" ht="30" x14ac:dyDescent="0.2">
      <c r="A23" t="s">
        <v>249</v>
      </c>
      <c r="B23" s="28" t="s">
        <v>13</v>
      </c>
      <c r="C23" s="28" t="s">
        <v>102</v>
      </c>
      <c r="D23" s="28" t="s">
        <v>103</v>
      </c>
      <c r="E23" s="28" t="s">
        <v>149</v>
      </c>
      <c r="F23" s="19">
        <v>0.74652777777777779</v>
      </c>
      <c r="G23" s="19">
        <v>0.57638888888888884</v>
      </c>
      <c r="H23" s="28" t="s">
        <v>120</v>
      </c>
      <c r="I23" s="28" t="s">
        <v>104</v>
      </c>
      <c r="J23" s="28" t="s">
        <v>178</v>
      </c>
      <c r="K23" s="28" t="s">
        <v>250</v>
      </c>
      <c r="L23" s="28">
        <v>66996280826</v>
      </c>
      <c r="M23" s="24">
        <v>2</v>
      </c>
      <c r="N23" s="24">
        <v>0</v>
      </c>
      <c r="O23" s="24">
        <v>0</v>
      </c>
      <c r="P23" s="20"/>
      <c r="Q23" s="28" t="s">
        <v>106</v>
      </c>
      <c r="R23" s="28" t="s">
        <v>106</v>
      </c>
      <c r="S23" s="28" t="s">
        <v>106</v>
      </c>
      <c r="T23" s="28" t="s">
        <v>106</v>
      </c>
      <c r="V23">
        <v>4</v>
      </c>
      <c r="W23" t="s">
        <v>39</v>
      </c>
      <c r="X23">
        <v>49</v>
      </c>
      <c r="Y23" s="32">
        <v>0.72222222222222221</v>
      </c>
    </row>
    <row r="24" spans="1:25" ht="30" x14ac:dyDescent="0.2">
      <c r="A24" t="s">
        <v>244</v>
      </c>
      <c r="B24" s="28" t="s">
        <v>13</v>
      </c>
      <c r="C24" s="28" t="s">
        <v>102</v>
      </c>
      <c r="D24" s="28" t="s">
        <v>103</v>
      </c>
      <c r="E24" s="28" t="s">
        <v>149</v>
      </c>
      <c r="F24" s="19">
        <v>0.74652777777777779</v>
      </c>
      <c r="G24" s="19">
        <v>0.57986111111111116</v>
      </c>
      <c r="H24" s="28" t="s">
        <v>117</v>
      </c>
      <c r="I24" s="28" t="s">
        <v>104</v>
      </c>
      <c r="J24" s="28" t="s">
        <v>153</v>
      </c>
      <c r="K24" s="28" t="s">
        <v>245</v>
      </c>
      <c r="L24" s="28">
        <v>11938012002</v>
      </c>
      <c r="M24" s="24">
        <v>1</v>
      </c>
      <c r="N24" s="24">
        <v>0</v>
      </c>
      <c r="O24" s="24">
        <v>0</v>
      </c>
      <c r="P24" s="20"/>
      <c r="Q24" s="28" t="s">
        <v>106</v>
      </c>
      <c r="R24" s="28" t="s">
        <v>106</v>
      </c>
      <c r="S24" s="28" t="s">
        <v>106</v>
      </c>
      <c r="T24" s="28" t="s">
        <v>106</v>
      </c>
      <c r="V24">
        <v>4</v>
      </c>
      <c r="W24" t="s">
        <v>48</v>
      </c>
      <c r="X24">
        <v>50</v>
      </c>
      <c r="Y24" s="32">
        <v>0.72222222222222221</v>
      </c>
    </row>
    <row r="25" spans="1:25" ht="30" x14ac:dyDescent="0.2">
      <c r="A25" t="s">
        <v>246</v>
      </c>
      <c r="B25" s="28" t="s">
        <v>13</v>
      </c>
      <c r="C25" s="28" t="s">
        <v>102</v>
      </c>
      <c r="D25" s="28" t="s">
        <v>103</v>
      </c>
      <c r="E25" s="28" t="s">
        <v>149</v>
      </c>
      <c r="F25" s="19">
        <v>0.74652777777777779</v>
      </c>
      <c r="G25" s="19">
        <v>0.57986111111111116</v>
      </c>
      <c r="H25" s="28" t="s">
        <v>117</v>
      </c>
      <c r="I25" s="28" t="s">
        <v>104</v>
      </c>
      <c r="J25" s="28" t="s">
        <v>153</v>
      </c>
      <c r="K25" s="28" t="s">
        <v>247</v>
      </c>
      <c r="L25" s="28">
        <v>66996616357</v>
      </c>
      <c r="M25" s="24">
        <v>1</v>
      </c>
      <c r="N25" s="24">
        <v>0</v>
      </c>
      <c r="O25" s="24">
        <v>0</v>
      </c>
      <c r="P25" s="20"/>
      <c r="Q25" s="28" t="s">
        <v>106</v>
      </c>
      <c r="R25" s="28" t="s">
        <v>106</v>
      </c>
      <c r="S25" s="28" t="s">
        <v>106</v>
      </c>
      <c r="T25" s="28" t="s">
        <v>106</v>
      </c>
      <c r="U25" t="s">
        <v>248</v>
      </c>
      <c r="V25">
        <v>4</v>
      </c>
      <c r="W25" t="s">
        <v>48</v>
      </c>
      <c r="X25">
        <v>50</v>
      </c>
      <c r="Y25" s="32">
        <v>0.72222222222222221</v>
      </c>
    </row>
    <row r="26" spans="1:25" ht="30" x14ac:dyDescent="0.2">
      <c r="A26" t="s">
        <v>263</v>
      </c>
      <c r="B26" s="28" t="s">
        <v>13</v>
      </c>
      <c r="C26" s="28" t="s">
        <v>102</v>
      </c>
      <c r="D26" s="28" t="s">
        <v>103</v>
      </c>
      <c r="E26" s="28" t="s">
        <v>149</v>
      </c>
      <c r="F26" s="19">
        <v>0.74652777777777779</v>
      </c>
      <c r="G26" s="19">
        <v>0.58333333333333337</v>
      </c>
      <c r="H26" s="28" t="s">
        <v>121</v>
      </c>
      <c r="I26" s="28" t="s">
        <v>104</v>
      </c>
      <c r="J26" s="28" t="s">
        <v>153</v>
      </c>
      <c r="K26" s="28" t="s">
        <v>264</v>
      </c>
      <c r="L26" s="28">
        <v>12988761938</v>
      </c>
      <c r="M26" s="24">
        <v>2</v>
      </c>
      <c r="N26" s="24">
        <v>0</v>
      </c>
      <c r="O26" s="24">
        <v>0</v>
      </c>
      <c r="P26" s="20"/>
      <c r="Q26" s="28" t="s">
        <v>106</v>
      </c>
      <c r="R26" s="28" t="s">
        <v>106</v>
      </c>
      <c r="S26" s="28" t="s">
        <v>106</v>
      </c>
      <c r="T26" s="28" t="s">
        <v>106</v>
      </c>
      <c r="V26">
        <v>4</v>
      </c>
      <c r="W26" t="s">
        <v>83</v>
      </c>
      <c r="X26">
        <v>60</v>
      </c>
      <c r="Y26" s="32">
        <v>0.72222222222222221</v>
      </c>
    </row>
    <row r="27" spans="1:25" ht="30" x14ac:dyDescent="0.2">
      <c r="A27" t="s">
        <v>261</v>
      </c>
      <c r="B27" s="28" t="s">
        <v>13</v>
      </c>
      <c r="C27" s="28" t="s">
        <v>102</v>
      </c>
      <c r="D27" s="28" t="s">
        <v>103</v>
      </c>
      <c r="E27" s="28" t="s">
        <v>149</v>
      </c>
      <c r="F27" s="19">
        <v>0.74652777777777779</v>
      </c>
      <c r="G27" s="19">
        <v>0.58680555555555558</v>
      </c>
      <c r="H27" s="28" t="s">
        <v>110</v>
      </c>
      <c r="I27" s="28" t="s">
        <v>104</v>
      </c>
      <c r="J27" s="28" t="s">
        <v>153</v>
      </c>
      <c r="K27" s="28" t="s">
        <v>262</v>
      </c>
      <c r="L27" s="28">
        <v>11947246929</v>
      </c>
      <c r="M27" s="24">
        <v>2</v>
      </c>
      <c r="N27" s="24">
        <v>0</v>
      </c>
      <c r="O27" s="24">
        <v>0</v>
      </c>
      <c r="P27" s="20"/>
      <c r="Q27" s="28" t="s">
        <v>106</v>
      </c>
      <c r="R27" s="28" t="s">
        <v>106</v>
      </c>
      <c r="S27" s="28" t="s">
        <v>106</v>
      </c>
      <c r="T27" s="28" t="s">
        <v>106</v>
      </c>
      <c r="V27">
        <v>4</v>
      </c>
      <c r="W27" t="s">
        <v>83</v>
      </c>
      <c r="X27">
        <v>63</v>
      </c>
      <c r="Y27" s="32">
        <v>0.72222222222222221</v>
      </c>
    </row>
    <row r="28" spans="1:25" ht="30" x14ac:dyDescent="0.2">
      <c r="A28" t="s">
        <v>237</v>
      </c>
      <c r="B28" s="28" t="s">
        <v>13</v>
      </c>
      <c r="C28" s="28" t="s">
        <v>102</v>
      </c>
      <c r="D28" s="28" t="s">
        <v>103</v>
      </c>
      <c r="E28" s="28" t="s">
        <v>148</v>
      </c>
      <c r="F28" s="19">
        <v>0.72222222222222221</v>
      </c>
      <c r="G28" s="19">
        <v>0.59375</v>
      </c>
      <c r="H28" s="28" t="s">
        <v>141</v>
      </c>
      <c r="I28" s="28" t="s">
        <v>104</v>
      </c>
      <c r="J28" s="28" t="s">
        <v>153</v>
      </c>
      <c r="K28" s="28" t="s">
        <v>238</v>
      </c>
      <c r="L28" s="28">
        <v>11973704775</v>
      </c>
      <c r="M28" s="24">
        <v>2</v>
      </c>
      <c r="N28" s="24">
        <v>0</v>
      </c>
      <c r="O28" s="24">
        <v>0</v>
      </c>
      <c r="P28" s="20"/>
      <c r="Q28" s="28" t="s">
        <v>106</v>
      </c>
      <c r="R28" s="28" t="s">
        <v>106</v>
      </c>
      <c r="S28" s="28" t="s">
        <v>106</v>
      </c>
      <c r="T28" s="28" t="s">
        <v>106</v>
      </c>
      <c r="V28">
        <v>4</v>
      </c>
      <c r="W28" t="s">
        <v>40</v>
      </c>
      <c r="X28">
        <v>89</v>
      </c>
      <c r="Y28" s="32">
        <v>0.72222222222222221</v>
      </c>
    </row>
    <row r="29" spans="1:25" ht="30" x14ac:dyDescent="0.2">
      <c r="A29" t="s">
        <v>259</v>
      </c>
      <c r="B29" s="28" t="s">
        <v>13</v>
      </c>
      <c r="C29" s="28" t="s">
        <v>102</v>
      </c>
      <c r="D29" s="28" t="s">
        <v>103</v>
      </c>
      <c r="E29" s="28" t="s">
        <v>149</v>
      </c>
      <c r="F29" s="19">
        <v>0.74652777777777779</v>
      </c>
      <c r="G29" s="19">
        <v>0.59722222222222221</v>
      </c>
      <c r="H29" s="28" t="s">
        <v>112</v>
      </c>
      <c r="I29" s="28" t="s">
        <v>104</v>
      </c>
      <c r="J29" s="28" t="s">
        <v>153</v>
      </c>
      <c r="K29" s="28" t="s">
        <v>260</v>
      </c>
      <c r="L29" s="28">
        <v>19994000919</v>
      </c>
      <c r="M29" s="24">
        <v>3</v>
      </c>
      <c r="N29" s="24">
        <v>0</v>
      </c>
      <c r="O29" s="24">
        <v>0</v>
      </c>
      <c r="P29" s="20"/>
      <c r="Q29" s="28" t="s">
        <v>106</v>
      </c>
      <c r="R29" s="28" t="s">
        <v>106</v>
      </c>
      <c r="S29" s="28" t="s">
        <v>106</v>
      </c>
      <c r="T29" s="28" t="s">
        <v>106</v>
      </c>
      <c r="V29">
        <v>4</v>
      </c>
      <c r="W29" t="s">
        <v>40</v>
      </c>
      <c r="X29">
        <v>91</v>
      </c>
      <c r="Y29" s="32">
        <v>0.72222222222222221</v>
      </c>
    </row>
    <row r="30" spans="1:25" ht="30" x14ac:dyDescent="0.2">
      <c r="A30" t="s">
        <v>174</v>
      </c>
      <c r="B30" s="28" t="s">
        <v>13</v>
      </c>
      <c r="C30" s="28" t="s">
        <v>102</v>
      </c>
      <c r="D30" s="28" t="s">
        <v>103</v>
      </c>
      <c r="E30" s="28" t="s">
        <v>163</v>
      </c>
      <c r="F30" s="19">
        <v>9.7222222222222224E-2</v>
      </c>
      <c r="G30" s="19">
        <v>0.95138888888888884</v>
      </c>
      <c r="H30" s="28" t="s">
        <v>143</v>
      </c>
      <c r="I30" s="28" t="s">
        <v>104</v>
      </c>
      <c r="J30" s="28" t="s">
        <v>161</v>
      </c>
      <c r="K30" s="28" t="s">
        <v>175</v>
      </c>
      <c r="L30" s="28">
        <v>19993356460</v>
      </c>
      <c r="M30" s="24">
        <v>1</v>
      </c>
      <c r="N30" s="24">
        <v>0</v>
      </c>
      <c r="O30" s="24">
        <v>0</v>
      </c>
      <c r="P30" s="20"/>
      <c r="Q30" s="28" t="s">
        <v>106</v>
      </c>
      <c r="R30" s="28" t="s">
        <v>106</v>
      </c>
      <c r="S30" s="28" t="s">
        <v>106</v>
      </c>
      <c r="T30" s="28" t="s">
        <v>106</v>
      </c>
      <c r="W30" t="s">
        <v>38</v>
      </c>
      <c r="X30">
        <v>10</v>
      </c>
    </row>
    <row r="31" spans="1:25" ht="30" x14ac:dyDescent="0.2">
      <c r="A31" t="s">
        <v>176</v>
      </c>
      <c r="B31" s="28" t="s">
        <v>13</v>
      </c>
      <c r="C31" s="28" t="s">
        <v>102</v>
      </c>
      <c r="D31" s="28" t="s">
        <v>103</v>
      </c>
      <c r="E31" s="28" t="s">
        <v>163</v>
      </c>
      <c r="F31" s="19">
        <v>9.7222222222222224E-2</v>
      </c>
      <c r="G31" s="19">
        <v>0.95486111111111116</v>
      </c>
      <c r="H31" s="28" t="s">
        <v>108</v>
      </c>
      <c r="I31" s="28" t="s">
        <v>104</v>
      </c>
      <c r="J31" s="28" t="s">
        <v>178</v>
      </c>
      <c r="K31" s="28" t="s">
        <v>177</v>
      </c>
      <c r="L31" s="21"/>
      <c r="M31" s="24">
        <v>2</v>
      </c>
      <c r="N31" s="24">
        <v>0</v>
      </c>
      <c r="O31" s="24">
        <v>0</v>
      </c>
      <c r="P31" s="20"/>
      <c r="Q31" s="28" t="s">
        <v>106</v>
      </c>
      <c r="R31" s="28" t="s">
        <v>106</v>
      </c>
      <c r="S31" s="28" t="s">
        <v>106</v>
      </c>
      <c r="T31" s="28" t="s">
        <v>106</v>
      </c>
      <c r="W31" t="s">
        <v>38</v>
      </c>
      <c r="X31">
        <v>30</v>
      </c>
    </row>
    <row r="32" spans="1:25" ht="30" x14ac:dyDescent="0.2">
      <c r="A32" t="s">
        <v>179</v>
      </c>
      <c r="B32" s="28" t="s">
        <v>13</v>
      </c>
      <c r="C32" s="28" t="s">
        <v>102</v>
      </c>
      <c r="D32" s="28" t="s">
        <v>103</v>
      </c>
      <c r="E32" s="28" t="s">
        <v>163</v>
      </c>
      <c r="F32" s="19">
        <v>9.7222222222222224E-2</v>
      </c>
      <c r="G32" s="19">
        <v>0.95486111111111116</v>
      </c>
      <c r="H32" s="28" t="s">
        <v>108</v>
      </c>
      <c r="I32" s="28" t="s">
        <v>104</v>
      </c>
      <c r="J32" s="28" t="s">
        <v>153</v>
      </c>
      <c r="K32" s="28" t="s">
        <v>180</v>
      </c>
      <c r="L32" s="28" t="s">
        <v>181</v>
      </c>
      <c r="M32" s="24">
        <v>1</v>
      </c>
      <c r="N32" s="24">
        <v>0</v>
      </c>
      <c r="O32" s="24">
        <v>0</v>
      </c>
      <c r="P32" s="20"/>
      <c r="Q32" s="28" t="s">
        <v>106</v>
      </c>
      <c r="R32" s="28" t="s">
        <v>106</v>
      </c>
      <c r="S32" s="28" t="s">
        <v>106</v>
      </c>
      <c r="T32" s="28" t="s">
        <v>106</v>
      </c>
      <c r="U32" t="s">
        <v>182</v>
      </c>
      <c r="W32" t="s">
        <v>38</v>
      </c>
      <c r="X32">
        <v>30</v>
      </c>
    </row>
    <row r="33" spans="1:24" ht="30" x14ac:dyDescent="0.2">
      <c r="A33" t="s">
        <v>183</v>
      </c>
      <c r="B33" s="28" t="s">
        <v>13</v>
      </c>
      <c r="C33" s="28" t="s">
        <v>102</v>
      </c>
      <c r="D33" s="28" t="s">
        <v>103</v>
      </c>
      <c r="E33" s="28" t="s">
        <v>163</v>
      </c>
      <c r="F33" s="19">
        <v>9.7222222222222224E-2</v>
      </c>
      <c r="G33" s="19">
        <v>0.96180555555555558</v>
      </c>
      <c r="H33" s="28" t="s">
        <v>111</v>
      </c>
      <c r="I33" s="28" t="s">
        <v>104</v>
      </c>
      <c r="J33" s="28" t="s">
        <v>185</v>
      </c>
      <c r="K33" s="28" t="s">
        <v>184</v>
      </c>
      <c r="L33" s="28">
        <v>45991010207</v>
      </c>
      <c r="M33" s="24">
        <v>5</v>
      </c>
      <c r="N33" s="24">
        <v>0</v>
      </c>
      <c r="O33" s="24">
        <v>0</v>
      </c>
      <c r="P33" s="20"/>
      <c r="Q33" s="28" t="s">
        <v>106</v>
      </c>
      <c r="R33" s="28" t="s">
        <v>106</v>
      </c>
      <c r="S33" s="28" t="s">
        <v>106</v>
      </c>
      <c r="T33" s="28" t="s">
        <v>106</v>
      </c>
      <c r="W33" t="s">
        <v>48</v>
      </c>
      <c r="X33">
        <v>53</v>
      </c>
    </row>
    <row r="34" spans="1:24" ht="30" x14ac:dyDescent="0.2">
      <c r="A34" t="s">
        <v>188</v>
      </c>
      <c r="B34" s="28" t="s">
        <v>13</v>
      </c>
      <c r="C34" s="28" t="s">
        <v>102</v>
      </c>
      <c r="D34" s="28" t="s">
        <v>103</v>
      </c>
      <c r="E34" s="28" t="s">
        <v>163</v>
      </c>
      <c r="F34" s="19">
        <v>9.7222222222222224E-2</v>
      </c>
      <c r="G34" s="19">
        <v>0.96527777777777779</v>
      </c>
      <c r="H34" s="28" t="s">
        <v>121</v>
      </c>
      <c r="I34" s="28" t="s">
        <v>104</v>
      </c>
      <c r="J34" s="28" t="s">
        <v>161</v>
      </c>
      <c r="K34" s="28" t="s">
        <v>189</v>
      </c>
      <c r="L34" s="28">
        <v>18997851258</v>
      </c>
      <c r="M34" s="24">
        <v>2</v>
      </c>
      <c r="N34" s="24">
        <v>0</v>
      </c>
      <c r="O34" s="24">
        <v>0</v>
      </c>
      <c r="P34" s="20"/>
      <c r="Q34" s="28" t="s">
        <v>106</v>
      </c>
      <c r="R34" s="28" t="s">
        <v>106</v>
      </c>
      <c r="S34" s="28" t="s">
        <v>106</v>
      </c>
      <c r="T34" s="28" t="s">
        <v>106</v>
      </c>
      <c r="U34" t="s">
        <v>190</v>
      </c>
      <c r="W34" t="s">
        <v>83</v>
      </c>
      <c r="X34">
        <v>60</v>
      </c>
    </row>
    <row r="35" spans="1:24" ht="30" x14ac:dyDescent="0.2">
      <c r="A35" t="s">
        <v>186</v>
      </c>
      <c r="B35" s="28" t="s">
        <v>13</v>
      </c>
      <c r="C35" s="28" t="s">
        <v>102</v>
      </c>
      <c r="D35" s="28" t="s">
        <v>103</v>
      </c>
      <c r="E35" s="28" t="s">
        <v>163</v>
      </c>
      <c r="F35" s="19">
        <v>9.7222222222222224E-2</v>
      </c>
      <c r="G35" s="19">
        <v>0.96875</v>
      </c>
      <c r="H35" s="28" t="s">
        <v>110</v>
      </c>
      <c r="I35" s="28" t="s">
        <v>104</v>
      </c>
      <c r="J35" s="28" t="s">
        <v>161</v>
      </c>
      <c r="K35" s="28" t="s">
        <v>187</v>
      </c>
      <c r="L35" s="28">
        <v>4532421632</v>
      </c>
      <c r="M35" s="24">
        <v>2</v>
      </c>
      <c r="N35" s="24">
        <v>0</v>
      </c>
      <c r="O35" s="24">
        <v>0</v>
      </c>
      <c r="P35" s="20"/>
      <c r="Q35" s="28" t="s">
        <v>106</v>
      </c>
      <c r="R35" s="28" t="s">
        <v>106</v>
      </c>
      <c r="S35" s="28" t="s">
        <v>106</v>
      </c>
      <c r="T35" s="28" t="s">
        <v>106</v>
      </c>
      <c r="W35" t="s">
        <v>83</v>
      </c>
      <c r="X35">
        <v>63</v>
      </c>
    </row>
    <row r="36" spans="1:24" ht="30" x14ac:dyDescent="0.2">
      <c r="A36" t="s">
        <v>191</v>
      </c>
      <c r="B36" s="28" t="s">
        <v>13</v>
      </c>
      <c r="C36" s="28" t="s">
        <v>102</v>
      </c>
      <c r="D36" s="28" t="s">
        <v>103</v>
      </c>
      <c r="E36" s="28" t="s">
        <v>163</v>
      </c>
      <c r="F36" s="19">
        <v>9.7222222222222224E-2</v>
      </c>
      <c r="G36" s="19">
        <v>0.97569444444444442</v>
      </c>
      <c r="H36" s="28" t="s">
        <v>140</v>
      </c>
      <c r="I36" s="28" t="s">
        <v>104</v>
      </c>
      <c r="J36" s="28" t="s">
        <v>161</v>
      </c>
      <c r="K36" s="28" t="s">
        <v>192</v>
      </c>
      <c r="L36" s="21"/>
      <c r="M36" s="24">
        <v>5</v>
      </c>
      <c r="N36" s="24">
        <v>0</v>
      </c>
      <c r="O36" s="24">
        <v>0</v>
      </c>
      <c r="P36" s="20"/>
      <c r="Q36" s="28" t="s">
        <v>106</v>
      </c>
      <c r="R36" s="28" t="s">
        <v>106</v>
      </c>
      <c r="S36" s="28" t="s">
        <v>106</v>
      </c>
      <c r="T36" s="28" t="s">
        <v>106</v>
      </c>
      <c r="W36" t="s">
        <v>1</v>
      </c>
      <c r="X36">
        <v>109</v>
      </c>
    </row>
    <row r="37" spans="1:24" ht="30" x14ac:dyDescent="0.2">
      <c r="A37" t="s">
        <v>171</v>
      </c>
      <c r="B37" s="28" t="s">
        <v>13</v>
      </c>
      <c r="C37" s="28" t="s">
        <v>102</v>
      </c>
      <c r="D37" s="28" t="s">
        <v>103</v>
      </c>
      <c r="E37" s="28" t="s">
        <v>173</v>
      </c>
      <c r="F37" s="19">
        <v>0</v>
      </c>
      <c r="G37" s="19">
        <v>0.85416666666666663</v>
      </c>
      <c r="H37" s="28" t="s">
        <v>117</v>
      </c>
      <c r="I37" s="28" t="s">
        <v>104</v>
      </c>
      <c r="J37" s="28" t="s">
        <v>153</v>
      </c>
      <c r="K37" s="28" t="s">
        <v>172</v>
      </c>
      <c r="L37" s="28">
        <v>61982709592</v>
      </c>
      <c r="M37" s="24">
        <v>2</v>
      </c>
      <c r="N37" s="24">
        <v>0</v>
      </c>
      <c r="O37" s="24">
        <v>0</v>
      </c>
      <c r="P37" s="20"/>
      <c r="Q37" s="28" t="s">
        <v>106</v>
      </c>
      <c r="R37" s="28" t="s">
        <v>106</v>
      </c>
      <c r="S37" s="28" t="s">
        <v>106</v>
      </c>
      <c r="T37" s="28" t="s">
        <v>106</v>
      </c>
      <c r="W37" t="s">
        <v>48</v>
      </c>
      <c r="X37">
        <v>50</v>
      </c>
    </row>
    <row r="38" spans="1:24" ht="30" x14ac:dyDescent="0.2">
      <c r="A38" t="s">
        <v>169</v>
      </c>
      <c r="B38" s="28" t="s">
        <v>13</v>
      </c>
      <c r="C38" s="28" t="s">
        <v>102</v>
      </c>
      <c r="D38" s="28" t="s">
        <v>103</v>
      </c>
      <c r="E38" s="28" t="s">
        <v>155</v>
      </c>
      <c r="F38" s="19">
        <v>0.76041666666666663</v>
      </c>
      <c r="G38" s="19">
        <v>0.61458333333333337</v>
      </c>
      <c r="H38" s="28" t="s">
        <v>112</v>
      </c>
      <c r="I38" s="28" t="s">
        <v>104</v>
      </c>
      <c r="J38" s="28" t="s">
        <v>153</v>
      </c>
      <c r="K38" s="28" t="s">
        <v>170</v>
      </c>
      <c r="L38" s="21"/>
      <c r="M38" s="24">
        <v>2</v>
      </c>
      <c r="N38" s="24">
        <v>0</v>
      </c>
      <c r="O38" s="24">
        <v>0</v>
      </c>
      <c r="P38" s="20"/>
      <c r="Q38" s="28" t="s">
        <v>106</v>
      </c>
      <c r="R38" s="28" t="s">
        <v>106</v>
      </c>
      <c r="S38" s="28" t="s">
        <v>106</v>
      </c>
      <c r="T38" s="28" t="s">
        <v>106</v>
      </c>
      <c r="W38" t="s">
        <v>40</v>
      </c>
      <c r="X38">
        <v>91</v>
      </c>
    </row>
    <row r="39" spans="1:24" ht="30" x14ac:dyDescent="0.2">
      <c r="A39" t="s">
        <v>229</v>
      </c>
      <c r="B39" s="28" t="s">
        <v>13</v>
      </c>
      <c r="C39" s="28" t="s">
        <v>102</v>
      </c>
      <c r="D39" s="28" t="s">
        <v>103</v>
      </c>
      <c r="E39" s="28" t="s">
        <v>154</v>
      </c>
      <c r="F39" s="19">
        <v>0.55902777777777779</v>
      </c>
      <c r="G39" s="19">
        <v>0.41319444444444442</v>
      </c>
      <c r="H39" s="28" t="s">
        <v>119</v>
      </c>
      <c r="I39" s="28" t="s">
        <v>104</v>
      </c>
      <c r="J39" s="28" t="s">
        <v>153</v>
      </c>
      <c r="K39" s="28" t="s">
        <v>230</v>
      </c>
      <c r="L39" s="21"/>
      <c r="M39" s="24">
        <v>2</v>
      </c>
      <c r="N39" s="24">
        <v>1</v>
      </c>
      <c r="O39" s="24">
        <v>0</v>
      </c>
      <c r="P39" s="20"/>
      <c r="Q39" s="28" t="s">
        <v>106</v>
      </c>
      <c r="R39" s="28" t="s">
        <v>106</v>
      </c>
      <c r="S39" s="28" t="s">
        <v>106</v>
      </c>
      <c r="T39" s="28" t="s">
        <v>106</v>
      </c>
      <c r="W39" t="s">
        <v>38</v>
      </c>
      <c r="X39">
        <v>11</v>
      </c>
    </row>
    <row r="40" spans="1:24" ht="30" x14ac:dyDescent="0.2">
      <c r="A40" t="s">
        <v>225</v>
      </c>
      <c r="B40" s="28" t="s">
        <v>13</v>
      </c>
      <c r="C40" s="28" t="s">
        <v>102</v>
      </c>
      <c r="D40" s="28" t="s">
        <v>103</v>
      </c>
      <c r="E40" s="28" t="s">
        <v>154</v>
      </c>
      <c r="F40" s="19">
        <v>0.55902777777777779</v>
      </c>
      <c r="G40" s="19">
        <v>0.4201388888888889</v>
      </c>
      <c r="H40" s="28" t="s">
        <v>118</v>
      </c>
      <c r="I40" s="28" t="s">
        <v>104</v>
      </c>
      <c r="J40" s="28" t="s">
        <v>159</v>
      </c>
      <c r="K40" s="28" t="s">
        <v>226</v>
      </c>
      <c r="L40" s="28" t="s">
        <v>227</v>
      </c>
      <c r="M40" s="24">
        <v>3</v>
      </c>
      <c r="N40" s="24">
        <v>0</v>
      </c>
      <c r="O40" s="24">
        <v>0</v>
      </c>
      <c r="P40" s="20"/>
      <c r="Q40" s="28" t="s">
        <v>106</v>
      </c>
      <c r="R40" s="28" t="s">
        <v>106</v>
      </c>
      <c r="S40" s="28" t="s">
        <v>106</v>
      </c>
      <c r="T40" s="28" t="s">
        <v>106</v>
      </c>
      <c r="U40" t="s">
        <v>228</v>
      </c>
      <c r="W40" t="s">
        <v>39</v>
      </c>
      <c r="X40">
        <v>42</v>
      </c>
    </row>
  </sheetData>
  <sortState xmlns:xlrd2="http://schemas.microsoft.com/office/spreadsheetml/2017/richdata2" ref="A16:X29">
    <sortCondition ref="X16:X29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08B49-88E3-3540-889B-FF540EF996CD}">
  <sheetPr codeName="Planilha1"/>
  <dimension ref="A1:GM31"/>
  <sheetViews>
    <sheetView showGridLines="0" topLeftCell="AA1" zoomScale="179" workbookViewId="0">
      <selection activeCell="AC21" sqref="AC21"/>
    </sheetView>
  </sheetViews>
  <sheetFormatPr baseColWidth="10" defaultColWidth="21" defaultRowHeight="15" x14ac:dyDescent="0.2"/>
  <cols>
    <col min="1" max="1" width="7.6640625" style="1" bestFit="1" customWidth="1"/>
    <col min="2" max="2" width="7" style="1" bestFit="1" customWidth="1"/>
    <col min="3" max="3" width="10" style="1" bestFit="1" customWidth="1"/>
    <col min="4" max="4" width="21" style="1" customWidth="1"/>
    <col min="5" max="5" width="33.5" style="1" bestFit="1" customWidth="1"/>
    <col min="6" max="6" width="6.83203125" style="1" bestFit="1" customWidth="1"/>
    <col min="7" max="7" width="10" style="1" bestFit="1" customWidth="1"/>
    <col min="8" max="8" width="4" style="1" customWidth="1"/>
    <col min="9" max="9" width="33" style="1" bestFit="1" customWidth="1"/>
    <col min="10" max="10" width="6.83203125" style="1" bestFit="1" customWidth="1"/>
    <col min="11" max="11" width="10" style="1" bestFit="1" customWidth="1"/>
    <col min="12" max="12" width="4" style="1" customWidth="1"/>
    <col min="13" max="13" width="31.1640625" style="1" bestFit="1" customWidth="1"/>
    <col min="14" max="14" width="6.83203125" style="1" bestFit="1" customWidth="1"/>
    <col min="15" max="15" width="10" style="1" bestFit="1" customWidth="1"/>
    <col min="16" max="16" width="2.83203125" style="1" customWidth="1"/>
    <col min="17" max="17" width="28" style="1" bestFit="1" customWidth="1"/>
    <col min="18" max="18" width="6.83203125" style="1" bestFit="1" customWidth="1"/>
    <col min="19" max="19" width="10" style="1" bestFit="1" customWidth="1"/>
    <col min="20" max="20" width="3" style="1" customWidth="1"/>
    <col min="21" max="21" width="23.6640625" style="1" bestFit="1" customWidth="1"/>
    <col min="22" max="22" width="6.83203125" style="1" bestFit="1" customWidth="1"/>
    <col min="23" max="23" width="10" style="1" bestFit="1" customWidth="1"/>
    <col min="24" max="24" width="4" style="1" customWidth="1"/>
    <col min="25" max="25" width="34.83203125" style="1" bestFit="1" customWidth="1"/>
    <col min="26" max="26" width="6.83203125" style="1" bestFit="1" customWidth="1"/>
    <col min="27" max="27" width="10" style="1" bestFit="1" customWidth="1"/>
    <col min="28" max="28" width="3.83203125" style="1" customWidth="1"/>
    <col min="29" max="29" width="34.83203125" style="1" bestFit="1" customWidth="1"/>
    <col min="30" max="30" width="6.83203125" style="1" bestFit="1" customWidth="1"/>
    <col min="31" max="31" width="10" style="1" bestFit="1" customWidth="1"/>
    <col min="32" max="32" width="3.83203125" style="1" customWidth="1"/>
    <col min="33" max="33" width="27.5" style="1" bestFit="1" customWidth="1"/>
    <col min="34" max="34" width="6.83203125" style="1" bestFit="1" customWidth="1"/>
    <col min="35" max="35" width="10" style="1" bestFit="1" customWidth="1"/>
    <col min="36" max="36" width="3.83203125" style="1" customWidth="1"/>
    <col min="37" max="37" width="19.6640625" style="1" bestFit="1" customWidth="1"/>
    <col min="38" max="38" width="6.83203125" style="1" bestFit="1" customWidth="1"/>
    <col min="39" max="39" width="10" style="1" bestFit="1" customWidth="1"/>
    <col min="40" max="40" width="3.83203125" style="1" customWidth="1"/>
    <col min="41" max="41" width="25" style="1" bestFit="1" customWidth="1"/>
    <col min="42" max="42" width="6.83203125" style="1" bestFit="1" customWidth="1"/>
    <col min="43" max="43" width="10" style="1" bestFit="1" customWidth="1"/>
    <col min="44" max="44" width="3.83203125" style="1" customWidth="1"/>
    <col min="45" max="45" width="21" style="1" bestFit="1" customWidth="1"/>
    <col min="46" max="46" width="6.83203125" style="1" bestFit="1" customWidth="1"/>
    <col min="47" max="47" width="10" style="1" bestFit="1" customWidth="1"/>
    <col min="48" max="48" width="3.83203125" style="1" customWidth="1"/>
    <col min="49" max="49" width="25" style="1" bestFit="1" customWidth="1"/>
    <col min="50" max="50" width="6.83203125" style="1" bestFit="1" customWidth="1"/>
    <col min="51" max="51" width="10" style="1" bestFit="1" customWidth="1"/>
    <col min="52" max="52" width="3.83203125" style="1" customWidth="1"/>
    <col min="53" max="53" width="19.6640625" style="1" bestFit="1" customWidth="1"/>
    <col min="54" max="54" width="6.83203125" style="1" bestFit="1" customWidth="1"/>
    <col min="55" max="55" width="10" style="1" bestFit="1" customWidth="1"/>
    <col min="56" max="56" width="3.83203125" style="1" customWidth="1"/>
    <col min="57" max="57" width="25" style="1" bestFit="1" customWidth="1"/>
    <col min="58" max="58" width="6.83203125" style="1" bestFit="1" customWidth="1"/>
    <col min="59" max="59" width="10" style="1" bestFit="1" customWidth="1"/>
    <col min="60" max="60" width="3.83203125" style="1" customWidth="1"/>
    <col min="61" max="61" width="20.83203125" style="1" bestFit="1" customWidth="1"/>
    <col min="62" max="62" width="6.83203125" style="1" bestFit="1" customWidth="1"/>
    <col min="63" max="63" width="10" style="1" bestFit="1" customWidth="1"/>
    <col min="64" max="64" width="21" style="1"/>
    <col min="65" max="65" width="7.33203125" style="1" bestFit="1" customWidth="1"/>
    <col min="66" max="66" width="6.83203125" style="1" bestFit="1" customWidth="1"/>
    <col min="67" max="67" width="10" style="1" bestFit="1" customWidth="1"/>
    <col min="68" max="68" width="21" style="1"/>
    <col min="69" max="69" width="7.33203125" style="1" bestFit="1" customWidth="1"/>
    <col min="70" max="70" width="6.83203125" style="1" bestFit="1" customWidth="1"/>
    <col min="71" max="71" width="10" style="1" bestFit="1" customWidth="1"/>
    <col min="72" max="72" width="21" style="1"/>
    <col min="73" max="73" width="7.33203125" style="1" bestFit="1" customWidth="1"/>
    <col min="74" max="74" width="6.83203125" style="1" bestFit="1" customWidth="1"/>
    <col min="75" max="75" width="10" style="1" bestFit="1" customWidth="1"/>
    <col min="76" max="76" width="21" style="1"/>
    <col min="77" max="77" width="7.33203125" style="1" bestFit="1" customWidth="1"/>
    <col min="78" max="78" width="6.83203125" style="1" bestFit="1" customWidth="1"/>
    <col min="79" max="79" width="10" style="1" bestFit="1" customWidth="1"/>
    <col min="80" max="80" width="21" style="1"/>
    <col min="81" max="81" width="7.33203125" style="1" bestFit="1" customWidth="1"/>
    <col min="82" max="82" width="6.83203125" style="1" bestFit="1" customWidth="1"/>
    <col min="83" max="83" width="10" style="1" bestFit="1" customWidth="1"/>
    <col min="84" max="84" width="21" style="1"/>
    <col min="85" max="85" width="7.33203125" style="1" bestFit="1" customWidth="1"/>
    <col min="86" max="86" width="6.83203125" style="1" bestFit="1" customWidth="1"/>
    <col min="87" max="87" width="10" style="1" bestFit="1" customWidth="1"/>
    <col min="88" max="88" width="21" style="1"/>
    <col min="89" max="89" width="7.33203125" style="1" bestFit="1" customWidth="1"/>
    <col min="90" max="90" width="6.83203125" style="1" bestFit="1" customWidth="1"/>
    <col min="91" max="91" width="10" style="1" bestFit="1" customWidth="1"/>
    <col min="92" max="92" width="21" style="1"/>
    <col min="93" max="93" width="7.33203125" style="1" bestFit="1" customWidth="1"/>
    <col min="94" max="94" width="6.83203125" style="1" bestFit="1" customWidth="1"/>
    <col min="95" max="95" width="10" style="1" bestFit="1" customWidth="1"/>
    <col min="96" max="96" width="21" style="1"/>
    <col min="97" max="97" width="7.33203125" style="1" bestFit="1" customWidth="1"/>
    <col min="98" max="98" width="6.83203125" style="1" bestFit="1" customWidth="1"/>
    <col min="99" max="99" width="10" style="1" bestFit="1" customWidth="1"/>
    <col min="100" max="100" width="21" style="1"/>
    <col min="101" max="101" width="7.33203125" style="1" bestFit="1" customWidth="1"/>
    <col min="102" max="102" width="6.83203125" style="1" bestFit="1" customWidth="1"/>
    <col min="103" max="103" width="10" style="1" bestFit="1" customWidth="1"/>
    <col min="104" max="104" width="21" style="1"/>
    <col min="105" max="105" width="7.33203125" style="1" bestFit="1" customWidth="1"/>
    <col min="106" max="106" width="6.83203125" style="1" bestFit="1" customWidth="1"/>
    <col min="107" max="107" width="10" style="1" bestFit="1" customWidth="1"/>
    <col min="108" max="108" width="21" style="1"/>
    <col min="109" max="109" width="7.33203125" style="1" bestFit="1" customWidth="1"/>
    <col min="110" max="110" width="6.83203125" style="1" bestFit="1" customWidth="1"/>
    <col min="111" max="111" width="10" style="1" bestFit="1" customWidth="1"/>
    <col min="112" max="112" width="21" style="1"/>
    <col min="113" max="113" width="7.33203125" style="1" bestFit="1" customWidth="1"/>
    <col min="114" max="114" width="6.83203125" style="1" bestFit="1" customWidth="1"/>
    <col min="115" max="115" width="10" style="1" bestFit="1" customWidth="1"/>
    <col min="116" max="116" width="21" style="1"/>
    <col min="117" max="117" width="7.33203125" style="1" bestFit="1" customWidth="1"/>
    <col min="118" max="118" width="6.83203125" style="1" bestFit="1" customWidth="1"/>
    <col min="119" max="119" width="10" style="1" bestFit="1" customWidth="1"/>
    <col min="120" max="120" width="21" style="1"/>
    <col min="121" max="121" width="7.33203125" style="1" bestFit="1" customWidth="1"/>
    <col min="122" max="122" width="6.83203125" style="1" bestFit="1" customWidth="1"/>
    <col min="123" max="123" width="10" style="1" bestFit="1" customWidth="1"/>
    <col min="124" max="124" width="21" style="1"/>
    <col min="125" max="125" width="7.33203125" style="1" bestFit="1" customWidth="1"/>
    <col min="126" max="126" width="6.83203125" style="1" bestFit="1" customWidth="1"/>
    <col min="127" max="127" width="10" style="1" bestFit="1" customWidth="1"/>
    <col min="128" max="128" width="21" style="1"/>
    <col min="129" max="129" width="7.33203125" style="1" bestFit="1" customWidth="1"/>
    <col min="130" max="130" width="6.83203125" style="1" bestFit="1" customWidth="1"/>
    <col min="131" max="131" width="10" style="1" bestFit="1" customWidth="1"/>
    <col min="132" max="132" width="21" style="1"/>
    <col min="133" max="133" width="7.33203125" style="1" bestFit="1" customWidth="1"/>
    <col min="134" max="134" width="6.83203125" style="1" bestFit="1" customWidth="1"/>
    <col min="135" max="135" width="10" style="1" bestFit="1" customWidth="1"/>
    <col min="136" max="136" width="21" style="1"/>
    <col min="137" max="137" width="7.33203125" style="1" bestFit="1" customWidth="1"/>
    <col min="138" max="138" width="6.83203125" style="1" bestFit="1" customWidth="1"/>
    <col min="139" max="139" width="10" style="1" bestFit="1" customWidth="1"/>
    <col min="140" max="140" width="21" style="1"/>
    <col min="141" max="141" width="7.33203125" style="1" bestFit="1" customWidth="1"/>
    <col min="142" max="142" width="6.83203125" style="1" bestFit="1" customWidth="1"/>
    <col min="143" max="143" width="10" style="1" bestFit="1" customWidth="1"/>
    <col min="144" max="144" width="21" style="1"/>
    <col min="145" max="145" width="7.33203125" style="1" bestFit="1" customWidth="1"/>
    <col min="146" max="146" width="6.83203125" style="1" bestFit="1" customWidth="1"/>
    <col min="147" max="147" width="10" style="1" bestFit="1" customWidth="1"/>
    <col min="148" max="148" width="21" style="1"/>
    <col min="149" max="149" width="7.33203125" style="1" bestFit="1" customWidth="1"/>
    <col min="150" max="150" width="6.83203125" style="1" bestFit="1" customWidth="1"/>
    <col min="151" max="151" width="10" style="1" bestFit="1" customWidth="1"/>
    <col min="152" max="16384" width="21" style="1"/>
  </cols>
  <sheetData>
    <row r="1" spans="1:195" ht="51" x14ac:dyDescent="0.2">
      <c r="A1" s="8" t="s">
        <v>16</v>
      </c>
      <c r="B1" s="8" t="s">
        <v>139</v>
      </c>
      <c r="E1" s="8" t="s">
        <v>268</v>
      </c>
      <c r="F1" s="8">
        <v>4</v>
      </c>
      <c r="I1" s="8" t="s">
        <v>269</v>
      </c>
      <c r="J1" s="8">
        <v>12</v>
      </c>
      <c r="M1" s="8" t="s">
        <v>270</v>
      </c>
      <c r="N1" s="8">
        <v>15</v>
      </c>
      <c r="Q1" s="8" t="s">
        <v>271</v>
      </c>
      <c r="R1" s="8">
        <v>6</v>
      </c>
      <c r="U1" s="8" t="s">
        <v>272</v>
      </c>
      <c r="V1" s="8">
        <v>18</v>
      </c>
      <c r="Y1" s="8" t="s">
        <v>272</v>
      </c>
      <c r="Z1" s="8">
        <v>9</v>
      </c>
      <c r="AC1" s="8" t="s">
        <v>273</v>
      </c>
      <c r="AD1" s="8">
        <v>14</v>
      </c>
      <c r="AG1" s="8" t="s">
        <v>273</v>
      </c>
      <c r="AH1" s="8">
        <v>13</v>
      </c>
      <c r="AK1" s="8" t="s">
        <v>163</v>
      </c>
      <c r="AL1" s="8">
        <v>18</v>
      </c>
      <c r="AO1" s="8" t="s">
        <v>173</v>
      </c>
      <c r="AP1" s="8">
        <v>2</v>
      </c>
      <c r="AS1" s="8" t="s">
        <v>155</v>
      </c>
      <c r="AT1" s="8">
        <v>2</v>
      </c>
      <c r="AW1" s="8" t="s">
        <v>154</v>
      </c>
      <c r="AX1" s="8">
        <v>6</v>
      </c>
      <c r="BA1" s="8"/>
      <c r="BB1" s="8"/>
      <c r="BE1" s="8"/>
      <c r="BF1" s="8"/>
      <c r="BI1" s="8"/>
      <c r="BJ1" s="8"/>
      <c r="BM1" s="8"/>
      <c r="BN1" s="8"/>
      <c r="BQ1" s="8"/>
      <c r="BR1" s="8"/>
      <c r="BU1" s="8"/>
      <c r="BV1" s="8"/>
      <c r="BY1" s="8"/>
      <c r="BZ1" s="8"/>
      <c r="CC1" s="8"/>
      <c r="CD1" s="8"/>
      <c r="CG1" s="8"/>
      <c r="CH1" s="8"/>
      <c r="CK1" s="8"/>
      <c r="CL1" s="8"/>
      <c r="CO1" s="8"/>
      <c r="CP1" s="8"/>
      <c r="CS1" s="8"/>
      <c r="CT1" s="8"/>
      <c r="CW1" s="8"/>
      <c r="CX1" s="8"/>
      <c r="DA1" s="8"/>
      <c r="DB1" s="8"/>
      <c r="DE1" s="8"/>
      <c r="DF1" s="8"/>
      <c r="DI1" s="8"/>
      <c r="DJ1" s="8"/>
      <c r="DM1" s="8"/>
      <c r="DN1" s="8"/>
      <c r="DQ1" s="8"/>
      <c r="DR1" s="8"/>
      <c r="DU1" s="8"/>
      <c r="DV1" s="8"/>
      <c r="DY1" s="8"/>
      <c r="DZ1" s="8"/>
      <c r="EC1" s="8"/>
      <c r="ED1" s="8"/>
      <c r="EG1" s="8"/>
      <c r="EH1" s="8"/>
      <c r="EK1" s="8"/>
      <c r="EL1" s="8"/>
      <c r="EO1" s="8"/>
      <c r="EP1" s="8"/>
      <c r="ES1" s="8"/>
      <c r="ET1" s="8"/>
    </row>
    <row r="3" spans="1:195" ht="17" x14ac:dyDescent="0.2">
      <c r="A3" s="10" t="s">
        <v>82</v>
      </c>
      <c r="B3" s="10" t="s">
        <v>81</v>
      </c>
      <c r="C3" s="10" t="s">
        <v>12</v>
      </c>
      <c r="E3" s="10" t="s">
        <v>82</v>
      </c>
      <c r="F3" s="10" t="s">
        <v>81</v>
      </c>
      <c r="G3" s="10" t="s">
        <v>12</v>
      </c>
      <c r="I3" s="10" t="s">
        <v>82</v>
      </c>
      <c r="J3" s="10" t="s">
        <v>81</v>
      </c>
      <c r="K3" s="10" t="s">
        <v>12</v>
      </c>
      <c r="M3" s="10" t="s">
        <v>82</v>
      </c>
      <c r="N3" s="10" t="s">
        <v>81</v>
      </c>
      <c r="O3" s="10" t="s">
        <v>12</v>
      </c>
      <c r="Q3" s="10" t="s">
        <v>82</v>
      </c>
      <c r="R3" s="10" t="s">
        <v>81</v>
      </c>
      <c r="S3" s="10" t="s">
        <v>12</v>
      </c>
      <c r="U3" s="10" t="s">
        <v>82</v>
      </c>
      <c r="V3" s="10" t="s">
        <v>81</v>
      </c>
      <c r="W3" s="10" t="s">
        <v>12</v>
      </c>
      <c r="Y3" s="10" t="s">
        <v>82</v>
      </c>
      <c r="Z3" s="10" t="s">
        <v>81</v>
      </c>
      <c r="AA3" s="10" t="s">
        <v>12</v>
      </c>
      <c r="AC3" s="10" t="s">
        <v>82</v>
      </c>
      <c r="AD3" s="10" t="s">
        <v>81</v>
      </c>
      <c r="AE3" s="10" t="s">
        <v>12</v>
      </c>
      <c r="AG3" s="10" t="s">
        <v>82</v>
      </c>
      <c r="AH3" s="10" t="s">
        <v>81</v>
      </c>
      <c r="AI3" s="10" t="s">
        <v>12</v>
      </c>
      <c r="AK3" s="10" t="s">
        <v>82</v>
      </c>
      <c r="AL3" s="10" t="s">
        <v>81</v>
      </c>
      <c r="AM3" s="10" t="s">
        <v>12</v>
      </c>
      <c r="AO3" s="10" t="s">
        <v>82</v>
      </c>
      <c r="AP3" s="10" t="s">
        <v>81</v>
      </c>
      <c r="AQ3" s="10" t="s">
        <v>12</v>
      </c>
      <c r="AS3" s="10" t="s">
        <v>82</v>
      </c>
      <c r="AT3" s="10" t="s">
        <v>81</v>
      </c>
      <c r="AU3" s="10" t="s">
        <v>12</v>
      </c>
      <c r="AW3" s="10" t="s">
        <v>82</v>
      </c>
      <c r="AX3" s="10" t="s">
        <v>81</v>
      </c>
      <c r="AY3" s="10" t="s">
        <v>12</v>
      </c>
      <c r="BA3" s="10" t="s">
        <v>82</v>
      </c>
      <c r="BB3" s="10" t="s">
        <v>81</v>
      </c>
      <c r="BC3" s="10" t="s">
        <v>12</v>
      </c>
      <c r="BE3" s="10" t="s">
        <v>82</v>
      </c>
      <c r="BF3" s="10" t="s">
        <v>81</v>
      </c>
      <c r="BG3" s="10" t="s">
        <v>12</v>
      </c>
      <c r="BI3" s="10" t="s">
        <v>82</v>
      </c>
      <c r="BJ3" s="10" t="s">
        <v>81</v>
      </c>
      <c r="BK3" s="10" t="s">
        <v>12</v>
      </c>
      <c r="BM3" s="10" t="s">
        <v>82</v>
      </c>
      <c r="BN3" s="10" t="s">
        <v>81</v>
      </c>
      <c r="BO3" s="10" t="s">
        <v>12</v>
      </c>
      <c r="BQ3" s="10" t="s">
        <v>82</v>
      </c>
      <c r="BR3" s="10" t="s">
        <v>81</v>
      </c>
      <c r="BS3" s="10" t="s">
        <v>12</v>
      </c>
      <c r="BU3" s="10" t="s">
        <v>82</v>
      </c>
      <c r="BV3" s="10" t="s">
        <v>81</v>
      </c>
      <c r="BW3" s="10" t="s">
        <v>12</v>
      </c>
      <c r="BY3" s="10" t="s">
        <v>82</v>
      </c>
      <c r="BZ3" s="10" t="s">
        <v>81</v>
      </c>
      <c r="CA3" s="10" t="s">
        <v>12</v>
      </c>
      <c r="CC3" s="10" t="s">
        <v>82</v>
      </c>
      <c r="CD3" s="10" t="s">
        <v>81</v>
      </c>
      <c r="CE3" s="10" t="s">
        <v>12</v>
      </c>
      <c r="CG3" s="10" t="s">
        <v>82</v>
      </c>
      <c r="CH3" s="10" t="s">
        <v>81</v>
      </c>
      <c r="CI3" s="10" t="s">
        <v>12</v>
      </c>
      <c r="CK3" s="10" t="s">
        <v>82</v>
      </c>
      <c r="CL3" s="10" t="s">
        <v>81</v>
      </c>
      <c r="CM3" s="10" t="s">
        <v>12</v>
      </c>
      <c r="CO3" s="10" t="s">
        <v>82</v>
      </c>
      <c r="CP3" s="10" t="s">
        <v>81</v>
      </c>
      <c r="CQ3" s="10" t="s">
        <v>12</v>
      </c>
      <c r="CS3" s="10" t="s">
        <v>82</v>
      </c>
      <c r="CT3" s="10" t="s">
        <v>81</v>
      </c>
      <c r="CU3" s="10" t="s">
        <v>12</v>
      </c>
      <c r="CW3" s="10" t="s">
        <v>82</v>
      </c>
      <c r="CX3" s="10" t="s">
        <v>81</v>
      </c>
      <c r="CY3" s="10" t="s">
        <v>12</v>
      </c>
      <c r="DA3" s="10" t="s">
        <v>82</v>
      </c>
      <c r="DB3" s="10" t="s">
        <v>81</v>
      </c>
      <c r="DC3" s="10" t="s">
        <v>12</v>
      </c>
      <c r="DE3" s="10" t="s">
        <v>82</v>
      </c>
      <c r="DF3" s="10" t="s">
        <v>81</v>
      </c>
      <c r="DG3" s="10" t="s">
        <v>12</v>
      </c>
      <c r="DI3" s="10" t="s">
        <v>82</v>
      </c>
      <c r="DJ3" s="10" t="s">
        <v>81</v>
      </c>
      <c r="DK3" s="10" t="s">
        <v>12</v>
      </c>
      <c r="DM3" s="10" t="s">
        <v>82</v>
      </c>
      <c r="DN3" s="10" t="s">
        <v>81</v>
      </c>
      <c r="DO3" s="10" t="s">
        <v>12</v>
      </c>
      <c r="DQ3" s="10" t="s">
        <v>82</v>
      </c>
      <c r="DR3" s="10" t="s">
        <v>81</v>
      </c>
      <c r="DS3" s="10" t="s">
        <v>12</v>
      </c>
      <c r="DU3" s="10" t="s">
        <v>82</v>
      </c>
      <c r="DV3" s="10" t="s">
        <v>81</v>
      </c>
      <c r="DW3" s="10" t="s">
        <v>12</v>
      </c>
      <c r="DY3" s="10" t="s">
        <v>82</v>
      </c>
      <c r="DZ3" s="10" t="s">
        <v>81</v>
      </c>
      <c r="EA3" s="10" t="s">
        <v>12</v>
      </c>
      <c r="EC3" s="10" t="s">
        <v>82</v>
      </c>
      <c r="ED3" s="10" t="s">
        <v>81</v>
      </c>
      <c r="EE3" s="10" t="s">
        <v>12</v>
      </c>
      <c r="EG3" s="10" t="s">
        <v>82</v>
      </c>
      <c r="EH3" s="10" t="s">
        <v>81</v>
      </c>
      <c r="EI3" s="10" t="s">
        <v>12</v>
      </c>
      <c r="EK3" s="10" t="s">
        <v>82</v>
      </c>
      <c r="EL3" s="10" t="s">
        <v>81</v>
      </c>
      <c r="EM3" s="10" t="s">
        <v>12</v>
      </c>
      <c r="EO3" s="10" t="s">
        <v>82</v>
      </c>
      <c r="EP3" s="10" t="s">
        <v>81</v>
      </c>
      <c r="EQ3" s="10" t="s">
        <v>12</v>
      </c>
      <c r="ES3" s="10" t="s">
        <v>82</v>
      </c>
      <c r="ET3" s="10" t="s">
        <v>81</v>
      </c>
      <c r="EU3" s="10" t="s">
        <v>12</v>
      </c>
    </row>
    <row r="4" spans="1:195" x14ac:dyDescent="0.2">
      <c r="A4" s="13" t="s">
        <v>126</v>
      </c>
      <c r="B4" s="1">
        <v>2</v>
      </c>
      <c r="C4" s="6">
        <v>4.8611111111111112E-2</v>
      </c>
      <c r="E4" s="1" t="s">
        <v>107</v>
      </c>
      <c r="F4" s="13">
        <v>4</v>
      </c>
      <c r="G4" s="6">
        <v>6.25E-2</v>
      </c>
      <c r="I4" s="1" t="s">
        <v>107</v>
      </c>
      <c r="J4" s="1">
        <v>0</v>
      </c>
      <c r="K4" s="6">
        <v>6.25E-2</v>
      </c>
      <c r="L4" s="13"/>
      <c r="M4" s="1" t="s">
        <v>109</v>
      </c>
      <c r="N4" s="1">
        <v>4</v>
      </c>
      <c r="O4" s="6">
        <v>0.34375</v>
      </c>
      <c r="Q4" s="1" t="s">
        <v>143</v>
      </c>
      <c r="R4" s="1">
        <v>4</v>
      </c>
      <c r="S4" s="6">
        <v>0.55902777777777779</v>
      </c>
      <c r="U4" s="1" t="s">
        <v>119</v>
      </c>
      <c r="V4" s="1">
        <v>4</v>
      </c>
      <c r="W4" s="6">
        <v>0.57638888888888884</v>
      </c>
      <c r="Y4" s="1" t="s">
        <v>121</v>
      </c>
      <c r="Z4" s="1">
        <v>2</v>
      </c>
      <c r="AA4" s="6">
        <v>0.57638888888888884</v>
      </c>
      <c r="AC4" s="1" t="s">
        <v>119</v>
      </c>
      <c r="AD4" s="1">
        <v>4</v>
      </c>
      <c r="AE4" s="6">
        <v>0.57638888888888884</v>
      </c>
      <c r="AG4" s="1" t="s">
        <v>120</v>
      </c>
      <c r="AH4" s="1">
        <v>2</v>
      </c>
      <c r="AI4" s="6">
        <v>0.57638888888888884</v>
      </c>
      <c r="AK4" s="1" t="s">
        <v>143</v>
      </c>
      <c r="AL4" s="1">
        <v>1</v>
      </c>
      <c r="AM4" s="6">
        <v>0.95138888888888884</v>
      </c>
      <c r="AO4" s="1" t="s">
        <v>117</v>
      </c>
      <c r="AP4" s="1">
        <v>2</v>
      </c>
      <c r="AQ4" s="6">
        <v>0.85416666666666663</v>
      </c>
      <c r="AS4" s="1" t="s">
        <v>112</v>
      </c>
      <c r="AT4" s="1">
        <v>2</v>
      </c>
      <c r="AU4" s="6">
        <v>0.61458333333333337</v>
      </c>
      <c r="AW4" s="1" t="s">
        <v>119</v>
      </c>
      <c r="AX4" s="1">
        <v>3</v>
      </c>
      <c r="AY4" s="6">
        <v>0.41319444444444442</v>
      </c>
      <c r="BC4" s="6"/>
      <c r="BG4" s="6"/>
      <c r="BI4" s="13"/>
      <c r="BK4" s="6"/>
      <c r="BL4" s="16"/>
      <c r="BM4" s="9"/>
      <c r="BO4" s="6"/>
      <c r="BP4" s="15"/>
      <c r="BQ4" s="9"/>
      <c r="BS4" s="6"/>
      <c r="BU4" s="13"/>
      <c r="BV4" s="13"/>
      <c r="BW4" s="6"/>
      <c r="BZ4" s="13"/>
      <c r="CA4" s="6"/>
      <c r="CE4" s="6"/>
      <c r="CF4" s="13"/>
      <c r="CI4" s="6"/>
      <c r="CK4" s="13"/>
      <c r="CM4" s="6"/>
      <c r="CQ4" s="6"/>
      <c r="CU4" s="6"/>
      <c r="CW4" s="13"/>
      <c r="CX4" s="13"/>
      <c r="CY4" s="6"/>
      <c r="DC4" s="6"/>
      <c r="DG4" s="6"/>
      <c r="DK4" s="6"/>
      <c r="DO4" s="6"/>
      <c r="DS4" s="6"/>
      <c r="DW4" s="6"/>
      <c r="EA4" s="6"/>
      <c r="EE4" s="6"/>
      <c r="EI4" s="6"/>
      <c r="EM4" s="6"/>
      <c r="EQ4" s="6"/>
      <c r="EU4" s="6"/>
      <c r="EY4" s="9"/>
      <c r="FC4" s="9"/>
      <c r="FG4" s="9"/>
      <c r="FK4" s="9"/>
      <c r="FO4" s="9"/>
      <c r="FS4" s="9"/>
      <c r="FW4" s="9"/>
      <c r="GA4" s="9"/>
      <c r="GE4" s="9"/>
      <c r="GI4" s="9"/>
      <c r="GM4" s="9"/>
    </row>
    <row r="5" spans="1:195" x14ac:dyDescent="0.2">
      <c r="A5" s="13" t="s">
        <v>127</v>
      </c>
      <c r="B5" s="1">
        <v>2</v>
      </c>
      <c r="C5" s="6">
        <v>9.0277777777777804E-2</v>
      </c>
      <c r="F5" s="13"/>
      <c r="G5" s="6"/>
      <c r="I5" s="1" t="s">
        <v>143</v>
      </c>
      <c r="J5" s="1">
        <v>5</v>
      </c>
      <c r="K5" s="6">
        <v>3.4722222222222224E-2</v>
      </c>
      <c r="M5" s="1" t="s">
        <v>144</v>
      </c>
      <c r="N5" s="1">
        <v>2</v>
      </c>
      <c r="O5" s="6">
        <v>0.35069444444444442</v>
      </c>
      <c r="Q5" s="13" t="s">
        <v>142</v>
      </c>
      <c r="R5" s="13">
        <v>2</v>
      </c>
      <c r="S5" s="6">
        <v>0.5625</v>
      </c>
      <c r="U5" s="1" t="s">
        <v>116</v>
      </c>
      <c r="V5" s="1">
        <v>2</v>
      </c>
      <c r="W5" s="6">
        <v>0.57986111111111116</v>
      </c>
      <c r="Y5" s="1" t="s">
        <v>110</v>
      </c>
      <c r="Z5" s="1">
        <v>2</v>
      </c>
      <c r="AA5" s="6">
        <v>0.57986111111111116</v>
      </c>
      <c r="AC5" s="1" t="s">
        <v>116</v>
      </c>
      <c r="AD5" s="1">
        <v>2</v>
      </c>
      <c r="AE5" s="6">
        <v>0.57986111111111116</v>
      </c>
      <c r="AG5" s="1" t="s">
        <v>117</v>
      </c>
      <c r="AH5" s="1">
        <v>2</v>
      </c>
      <c r="AI5" s="6">
        <v>0.57986111111111116</v>
      </c>
      <c r="AK5" s="1" t="s">
        <v>108</v>
      </c>
      <c r="AL5" s="1">
        <v>3</v>
      </c>
      <c r="AM5" s="6">
        <v>0.95486111111111116</v>
      </c>
      <c r="AQ5" s="6"/>
      <c r="AU5" s="6"/>
      <c r="AW5" s="1" t="s">
        <v>118</v>
      </c>
      <c r="AX5" s="1">
        <v>3</v>
      </c>
      <c r="AY5" s="6">
        <v>0.4201388888888889</v>
      </c>
      <c r="BC5" s="6"/>
      <c r="BG5" s="6"/>
      <c r="BK5" s="6"/>
      <c r="BL5" s="16"/>
      <c r="BO5" s="6"/>
      <c r="BP5" s="15"/>
      <c r="BS5" s="6"/>
      <c r="BW5" s="6"/>
      <c r="BZ5" s="13"/>
      <c r="CA5" s="6"/>
      <c r="CE5" s="6"/>
      <c r="CI5" s="6"/>
      <c r="CM5" s="6"/>
      <c r="CQ5" s="6"/>
      <c r="CS5" s="13"/>
      <c r="CT5" s="13"/>
      <c r="CU5" s="6"/>
      <c r="CY5" s="6"/>
      <c r="DC5" s="6"/>
      <c r="DG5" s="6"/>
      <c r="DK5" s="6"/>
      <c r="DO5" s="6"/>
      <c r="DS5" s="6"/>
      <c r="DW5" s="6"/>
      <c r="EA5" s="6"/>
      <c r="EE5" s="6"/>
      <c r="EI5" s="6"/>
      <c r="EM5" s="6"/>
      <c r="EQ5" s="6"/>
      <c r="EU5" s="6"/>
      <c r="GA5" s="9"/>
      <c r="GE5" s="9"/>
      <c r="GI5" s="9"/>
      <c r="GM5" s="9"/>
    </row>
    <row r="6" spans="1:195" x14ac:dyDescent="0.2">
      <c r="A6" s="13" t="s">
        <v>128</v>
      </c>
      <c r="B6" s="1">
        <v>2</v>
      </c>
      <c r="C6" s="6">
        <v>0.131944444444444</v>
      </c>
      <c r="F6" s="13"/>
      <c r="G6" s="6"/>
      <c r="I6" s="1" t="s">
        <v>120</v>
      </c>
      <c r="J6" s="1">
        <v>5</v>
      </c>
      <c r="K6" s="6">
        <v>4.1666666666666664E-2</v>
      </c>
      <c r="M6" s="1" t="s">
        <v>120</v>
      </c>
      <c r="N6" s="1">
        <v>5</v>
      </c>
      <c r="O6" s="6">
        <v>0.35416666666666669</v>
      </c>
      <c r="S6" s="6"/>
      <c r="U6" s="1" t="s">
        <v>108</v>
      </c>
      <c r="V6" s="1">
        <v>2</v>
      </c>
      <c r="W6" s="6">
        <v>0.58333333333333337</v>
      </c>
      <c r="Y6" s="1" t="s">
        <v>141</v>
      </c>
      <c r="Z6" s="1">
        <v>2</v>
      </c>
      <c r="AA6" s="6">
        <v>0.58680555555555558</v>
      </c>
      <c r="AC6" s="1" t="s">
        <v>108</v>
      </c>
      <c r="AD6" s="1">
        <v>2</v>
      </c>
      <c r="AE6" s="6">
        <v>0.58333333333333337</v>
      </c>
      <c r="AG6" s="1" t="s">
        <v>121</v>
      </c>
      <c r="AH6" s="1">
        <v>2</v>
      </c>
      <c r="AI6" s="6">
        <v>0.58333333333333337</v>
      </c>
      <c r="AK6" s="1" t="s">
        <v>111</v>
      </c>
      <c r="AL6" s="1">
        <v>5</v>
      </c>
      <c r="AM6" s="6">
        <v>0.96180555555555558</v>
      </c>
      <c r="AQ6" s="6"/>
      <c r="AU6" s="6"/>
      <c r="AY6" s="6"/>
      <c r="BC6" s="6"/>
      <c r="BG6" s="6"/>
      <c r="BK6" s="6"/>
      <c r="BL6" s="16"/>
      <c r="BM6" s="9"/>
      <c r="BO6" s="6"/>
      <c r="BP6" s="15"/>
      <c r="BQ6" s="9"/>
      <c r="BS6" s="6"/>
      <c r="BW6" s="6"/>
      <c r="BZ6" s="13"/>
      <c r="CA6" s="6"/>
      <c r="CE6" s="6"/>
      <c r="CI6" s="6"/>
      <c r="CM6" s="6"/>
      <c r="CQ6" s="6"/>
      <c r="CY6" s="6"/>
      <c r="DC6" s="6"/>
      <c r="DG6" s="6"/>
      <c r="DK6" s="6"/>
      <c r="DO6" s="6"/>
      <c r="DS6" s="6"/>
      <c r="DW6" s="6"/>
      <c r="EA6" s="6"/>
      <c r="EE6" s="6"/>
      <c r="EI6" s="6"/>
      <c r="EM6" s="6"/>
      <c r="EQ6" s="6"/>
      <c r="EU6" s="6"/>
      <c r="GE6" s="9"/>
      <c r="GI6" s="9"/>
      <c r="GM6" s="9"/>
    </row>
    <row r="7" spans="1:195" x14ac:dyDescent="0.2">
      <c r="A7" s="13" t="s">
        <v>129</v>
      </c>
      <c r="B7" s="1">
        <v>2</v>
      </c>
      <c r="C7" s="6">
        <v>0.17361111111111099</v>
      </c>
      <c r="G7" s="6"/>
      <c r="I7" s="1" t="s">
        <v>122</v>
      </c>
      <c r="J7" s="1">
        <v>2</v>
      </c>
      <c r="K7" s="6">
        <v>4.5138888888888888E-2</v>
      </c>
      <c r="M7" s="1" t="s">
        <v>141</v>
      </c>
      <c r="N7" s="1">
        <v>2</v>
      </c>
      <c r="O7" s="6">
        <v>0.3611111111111111</v>
      </c>
      <c r="S7" s="6"/>
      <c r="U7" s="1" t="s">
        <v>144</v>
      </c>
      <c r="V7" s="1">
        <v>2</v>
      </c>
      <c r="W7" s="6">
        <v>0.59027777777777779</v>
      </c>
      <c r="Y7" s="1" t="s">
        <v>112</v>
      </c>
      <c r="Z7" s="1">
        <v>3</v>
      </c>
      <c r="AA7" s="6">
        <v>0.59027777777777779</v>
      </c>
      <c r="AC7" s="1" t="s">
        <v>144</v>
      </c>
      <c r="AD7" s="1">
        <v>2</v>
      </c>
      <c r="AE7" s="6">
        <v>0.59027777777777779</v>
      </c>
      <c r="AG7" s="1" t="s">
        <v>110</v>
      </c>
      <c r="AH7" s="1">
        <v>2</v>
      </c>
      <c r="AI7" s="6">
        <v>0.58680555555555558</v>
      </c>
      <c r="AK7" s="1" t="s">
        <v>121</v>
      </c>
      <c r="AL7" s="1">
        <v>2</v>
      </c>
      <c r="AM7" s="6">
        <v>0.96527777777777779</v>
      </c>
      <c r="AQ7" s="6"/>
      <c r="AU7" s="6"/>
      <c r="AY7" s="6"/>
      <c r="BC7" s="6"/>
      <c r="BG7" s="6"/>
      <c r="BK7" s="6"/>
      <c r="BL7" s="16"/>
      <c r="BO7" s="6"/>
      <c r="BP7" s="15"/>
      <c r="BQ7" s="9"/>
      <c r="BS7" s="6"/>
      <c r="BW7" s="6"/>
      <c r="CA7" s="6"/>
      <c r="CE7" s="6"/>
      <c r="CI7" s="6"/>
      <c r="CM7" s="6"/>
      <c r="CQ7" s="6"/>
      <c r="CU7" s="6"/>
      <c r="CY7" s="6"/>
      <c r="DC7" s="6"/>
      <c r="DG7" s="6"/>
      <c r="DK7" s="6"/>
      <c r="DO7" s="6"/>
      <c r="DS7" s="6"/>
      <c r="DW7" s="6"/>
      <c r="EA7" s="6"/>
      <c r="EE7" s="6"/>
      <c r="EI7" s="6"/>
      <c r="EM7" s="6"/>
      <c r="EQ7" s="6"/>
      <c r="EU7" s="6"/>
    </row>
    <row r="8" spans="1:195" x14ac:dyDescent="0.2">
      <c r="A8" s="13" t="s">
        <v>130</v>
      </c>
      <c r="B8" s="1">
        <v>2</v>
      </c>
      <c r="C8" s="6">
        <v>0.21527777777777801</v>
      </c>
      <c r="G8" s="6"/>
      <c r="K8" s="6"/>
      <c r="M8" s="13" t="s">
        <v>150</v>
      </c>
      <c r="N8" s="13">
        <v>2</v>
      </c>
      <c r="O8" s="6">
        <v>0.36458333333333331</v>
      </c>
      <c r="S8" s="6"/>
      <c r="U8" s="1" t="s">
        <v>145</v>
      </c>
      <c r="V8" s="1">
        <v>2</v>
      </c>
      <c r="W8" s="6">
        <v>0.59375</v>
      </c>
      <c r="AA8" s="6"/>
      <c r="AC8" s="1" t="s">
        <v>145</v>
      </c>
      <c r="AD8" s="1">
        <v>2</v>
      </c>
      <c r="AE8" s="6">
        <v>0.59375</v>
      </c>
      <c r="AG8" s="1" t="s">
        <v>141</v>
      </c>
      <c r="AH8" s="1">
        <v>2</v>
      </c>
      <c r="AI8" s="6">
        <v>0.59375</v>
      </c>
      <c r="AK8" s="1" t="s">
        <v>110</v>
      </c>
      <c r="AL8" s="1">
        <v>2</v>
      </c>
      <c r="AM8" s="6">
        <v>0.96875</v>
      </c>
      <c r="AQ8" s="6"/>
      <c r="AU8" s="6"/>
      <c r="AY8" s="6"/>
      <c r="BC8" s="6"/>
      <c r="BG8" s="6"/>
      <c r="BK8" s="6"/>
      <c r="BL8" s="16"/>
      <c r="BM8" s="9"/>
      <c r="BO8" s="6"/>
      <c r="BP8" s="15"/>
      <c r="BQ8" s="9"/>
      <c r="BS8" s="6"/>
      <c r="BW8" s="6"/>
      <c r="CA8" s="6"/>
      <c r="CE8" s="6"/>
      <c r="CI8" s="6"/>
      <c r="CM8" s="6"/>
      <c r="CO8" s="13"/>
      <c r="CP8" s="13"/>
      <c r="CQ8" s="6"/>
      <c r="CU8" s="6"/>
      <c r="CY8" s="6"/>
      <c r="DC8" s="6"/>
      <c r="DG8" s="6"/>
      <c r="DK8" s="6"/>
      <c r="DO8" s="6"/>
      <c r="DS8" s="6"/>
      <c r="DW8" s="6"/>
      <c r="EA8" s="6"/>
      <c r="EE8" s="6"/>
      <c r="EI8" s="6"/>
      <c r="EM8" s="6"/>
      <c r="EQ8" s="6"/>
      <c r="EU8" s="6"/>
    </row>
    <row r="9" spans="1:195" x14ac:dyDescent="0.2">
      <c r="A9" s="13" t="s">
        <v>131</v>
      </c>
      <c r="B9" s="1">
        <v>2</v>
      </c>
      <c r="C9" s="6">
        <v>0.25694444444444398</v>
      </c>
      <c r="G9" s="6"/>
      <c r="K9" s="6"/>
      <c r="O9" s="6"/>
      <c r="S9" s="6"/>
      <c r="U9" s="1" t="s">
        <v>118</v>
      </c>
      <c r="V9" s="1">
        <v>2</v>
      </c>
      <c r="W9" s="6">
        <v>0.59722222222222221</v>
      </c>
      <c r="AA9" s="6"/>
      <c r="AC9" s="1" t="s">
        <v>118</v>
      </c>
      <c r="AD9" s="1">
        <v>2</v>
      </c>
      <c r="AE9" s="6">
        <v>0.59722222222222221</v>
      </c>
      <c r="AG9" s="1" t="s">
        <v>112</v>
      </c>
      <c r="AH9" s="1">
        <v>3</v>
      </c>
      <c r="AI9" s="6">
        <v>0.59722222222222221</v>
      </c>
      <c r="AK9" s="1" t="s">
        <v>140</v>
      </c>
      <c r="AL9" s="1">
        <v>5</v>
      </c>
      <c r="AM9" s="6">
        <v>0.97569444444444442</v>
      </c>
      <c r="AQ9" s="6"/>
      <c r="AU9" s="6"/>
      <c r="AY9" s="6"/>
      <c r="BC9" s="6"/>
      <c r="BG9" s="6"/>
      <c r="BI9" s="9"/>
      <c r="BK9" s="6"/>
      <c r="BL9" s="16"/>
      <c r="BO9" s="6"/>
      <c r="BS9" s="6"/>
      <c r="BW9" s="6"/>
      <c r="CA9" s="6"/>
      <c r="CE9" s="6"/>
      <c r="CI9" s="6"/>
      <c r="CM9" s="6"/>
      <c r="CQ9" s="6"/>
      <c r="CU9" s="6"/>
      <c r="CY9" s="6"/>
      <c r="DC9" s="6"/>
      <c r="DG9" s="6"/>
      <c r="DK9" s="6"/>
      <c r="DO9" s="6"/>
      <c r="DS9" s="6"/>
      <c r="DW9" s="6"/>
      <c r="EA9" s="6"/>
      <c r="EE9" s="6"/>
      <c r="EI9" s="6"/>
      <c r="EM9" s="6"/>
      <c r="EQ9" s="6"/>
      <c r="EU9" s="6"/>
    </row>
    <row r="10" spans="1:195" x14ac:dyDescent="0.2">
      <c r="A10" s="13" t="s">
        <v>132</v>
      </c>
      <c r="B10" s="1">
        <v>2</v>
      </c>
      <c r="C10" s="6">
        <v>0.29861111111111099</v>
      </c>
      <c r="G10" s="6"/>
      <c r="K10" s="6"/>
      <c r="O10" s="6"/>
      <c r="S10" s="6"/>
      <c r="U10" s="1" t="s">
        <v>120</v>
      </c>
      <c r="V10" s="1">
        <v>2</v>
      </c>
      <c r="W10" s="6">
        <v>0.60069444444444442</v>
      </c>
      <c r="AA10" s="6"/>
      <c r="AE10" s="6"/>
      <c r="AI10" s="6"/>
      <c r="AM10" s="6"/>
      <c r="AQ10" s="6"/>
      <c r="AU10" s="6"/>
      <c r="AY10" s="6"/>
      <c r="BC10" s="6"/>
      <c r="BG10" s="6"/>
      <c r="BK10" s="6"/>
      <c r="BL10" s="16"/>
      <c r="BO10" s="6"/>
      <c r="BS10" s="6"/>
      <c r="BW10" s="6"/>
      <c r="CA10" s="6"/>
      <c r="CE10" s="6"/>
      <c r="CI10" s="6"/>
      <c r="CM10" s="6"/>
      <c r="CQ10" s="6"/>
      <c r="CU10" s="6"/>
      <c r="DC10" s="6"/>
      <c r="DG10" s="6"/>
      <c r="DK10" s="6"/>
      <c r="DO10" s="6"/>
      <c r="DS10" s="6"/>
      <c r="DW10" s="6"/>
      <c r="EA10" s="6"/>
      <c r="EE10" s="6"/>
      <c r="EI10" s="6"/>
      <c r="EM10" s="6"/>
      <c r="EQ10" s="6"/>
      <c r="EU10" s="6"/>
    </row>
    <row r="11" spans="1:195" x14ac:dyDescent="0.2">
      <c r="A11" s="13" t="s">
        <v>133</v>
      </c>
      <c r="B11" s="1">
        <v>2</v>
      </c>
      <c r="C11" s="6">
        <v>0.34027777777777801</v>
      </c>
      <c r="G11" s="6"/>
      <c r="K11" s="6"/>
      <c r="O11" s="6"/>
      <c r="S11" s="6"/>
      <c r="U11" s="1" t="s">
        <v>117</v>
      </c>
      <c r="V11" s="1">
        <v>2</v>
      </c>
      <c r="W11" s="6">
        <v>0.60416666666666663</v>
      </c>
      <c r="AA11" s="6"/>
      <c r="AE11" s="6"/>
      <c r="AI11" s="6"/>
      <c r="AQ11" s="6"/>
      <c r="AU11" s="6"/>
      <c r="AY11" s="6"/>
      <c r="BC11" s="6"/>
      <c r="BG11" s="6"/>
      <c r="BK11" s="6"/>
      <c r="BL11" s="16"/>
      <c r="BM11" s="13"/>
      <c r="BN11" s="13"/>
      <c r="BO11" s="6"/>
      <c r="BQ11" s="13"/>
      <c r="BR11" s="13"/>
      <c r="BS11" s="6"/>
      <c r="BW11" s="6"/>
      <c r="CA11" s="6"/>
      <c r="CI11" s="6"/>
      <c r="CM11" s="6"/>
      <c r="CQ11" s="6"/>
      <c r="CU11" s="6"/>
      <c r="CY11" s="6"/>
      <c r="DG11" s="6"/>
      <c r="DK11" s="6"/>
      <c r="DO11" s="6"/>
      <c r="DS11" s="6"/>
      <c r="DW11" s="6"/>
      <c r="EE11" s="6"/>
      <c r="EI11" s="6"/>
      <c r="EM11" s="6"/>
      <c r="EQ11" s="6"/>
      <c r="EU11" s="6"/>
    </row>
    <row r="12" spans="1:195" x14ac:dyDescent="0.2">
      <c r="A12" s="13" t="s">
        <v>134</v>
      </c>
      <c r="B12" s="1">
        <v>2</v>
      </c>
      <c r="C12" s="6">
        <v>0.38194444444444398</v>
      </c>
      <c r="G12" s="6"/>
      <c r="K12" s="6"/>
      <c r="O12" s="6"/>
      <c r="S12" s="6"/>
      <c r="W12" s="6"/>
      <c r="AA12" s="6"/>
      <c r="AE12" s="6"/>
      <c r="AI12" s="6"/>
      <c r="AM12" s="6"/>
      <c r="AQ12" s="6"/>
      <c r="AU12" s="6"/>
      <c r="AY12" s="6"/>
      <c r="BC12" s="6"/>
      <c r="BG12" s="6"/>
      <c r="BK12" s="6"/>
      <c r="BO12" s="6"/>
      <c r="BS12" s="6"/>
      <c r="BW12" s="6"/>
      <c r="CA12" s="6"/>
      <c r="CE12" s="6"/>
      <c r="CI12" s="6"/>
      <c r="CM12" s="6"/>
      <c r="CQ12" s="6"/>
      <c r="CU12" s="6"/>
      <c r="CY12" s="6"/>
      <c r="DC12" s="6"/>
      <c r="DG12" s="6"/>
      <c r="DK12" s="6"/>
      <c r="DO12" s="6"/>
      <c r="DS12" s="6"/>
      <c r="DW12" s="6"/>
      <c r="EA12" s="6"/>
      <c r="EE12" s="6"/>
      <c r="EI12" s="6"/>
      <c r="EM12" s="6"/>
      <c r="EQ12" s="6"/>
      <c r="EU12" s="6"/>
    </row>
    <row r="13" spans="1:195" x14ac:dyDescent="0.2">
      <c r="A13" s="13" t="s">
        <v>135</v>
      </c>
      <c r="B13" s="1">
        <v>2</v>
      </c>
      <c r="C13" s="6">
        <v>0.42361111111111099</v>
      </c>
      <c r="G13" s="6"/>
      <c r="K13" s="6"/>
      <c r="O13" s="6"/>
      <c r="S13" s="6"/>
      <c r="W13" s="6"/>
      <c r="AA13" s="6"/>
      <c r="AE13" s="6"/>
      <c r="AI13" s="6"/>
      <c r="AM13" s="6"/>
      <c r="AQ13" s="6"/>
      <c r="AU13" s="6"/>
      <c r="AY13" s="6"/>
      <c r="BC13" s="6"/>
      <c r="BG13" s="6"/>
      <c r="BK13" s="6"/>
      <c r="BO13" s="6"/>
      <c r="BS13" s="6"/>
      <c r="BW13" s="6"/>
      <c r="CA13" s="6"/>
      <c r="CE13" s="6"/>
      <c r="CI13" s="6"/>
      <c r="CM13" s="6"/>
      <c r="CQ13" s="6"/>
      <c r="CU13" s="6"/>
      <c r="CY13" s="6"/>
      <c r="DC13" s="6"/>
      <c r="DG13" s="6"/>
      <c r="DK13" s="6"/>
      <c r="DO13" s="6"/>
      <c r="DS13" s="6"/>
      <c r="DW13" s="6"/>
      <c r="EA13" s="6"/>
      <c r="EE13" s="6"/>
      <c r="EI13" s="6"/>
      <c r="EM13" s="6"/>
      <c r="EQ13" s="6"/>
      <c r="EU13" s="6"/>
    </row>
    <row r="14" spans="1:195" x14ac:dyDescent="0.2">
      <c r="A14" s="13" t="s">
        <v>136</v>
      </c>
      <c r="B14" s="1">
        <v>2</v>
      </c>
      <c r="C14" s="6">
        <v>0.46527777777777801</v>
      </c>
      <c r="G14" s="6"/>
      <c r="K14" s="6"/>
      <c r="O14" s="6"/>
      <c r="S14" s="6"/>
      <c r="W14" s="6"/>
      <c r="AA14" s="6"/>
      <c r="AE14" s="6"/>
      <c r="AI14" s="6"/>
      <c r="AM14" s="6"/>
      <c r="AQ14" s="6"/>
      <c r="AU14" s="6"/>
      <c r="AY14" s="6"/>
      <c r="BC14" s="6"/>
      <c r="BG14" s="6"/>
      <c r="BK14" s="6"/>
      <c r="BO14" s="6"/>
      <c r="BS14" s="6"/>
      <c r="BW14" s="6"/>
      <c r="CA14" s="6"/>
      <c r="CE14" s="6"/>
      <c r="CI14" s="6"/>
      <c r="CM14" s="6"/>
      <c r="CQ14" s="6"/>
      <c r="CU14" s="6"/>
      <c r="CY14" s="6"/>
      <c r="DC14" s="6"/>
      <c r="DG14" s="6"/>
      <c r="DK14" s="6"/>
      <c r="DO14" s="6"/>
      <c r="DS14" s="6"/>
      <c r="DW14" s="6"/>
      <c r="EA14" s="6"/>
      <c r="EE14" s="6"/>
      <c r="EI14" s="6"/>
      <c r="EM14" s="6"/>
      <c r="EQ14" s="6"/>
      <c r="EU14" s="6"/>
    </row>
    <row r="15" spans="1:195" x14ac:dyDescent="0.2">
      <c r="A15" s="13" t="s">
        <v>137</v>
      </c>
      <c r="B15" s="1">
        <v>2</v>
      </c>
      <c r="C15" s="6">
        <v>0.50694444444444398</v>
      </c>
      <c r="G15" s="6"/>
      <c r="K15" s="6"/>
      <c r="O15" s="6"/>
      <c r="S15" s="6"/>
      <c r="W15" s="6"/>
      <c r="AA15" s="6"/>
      <c r="AE15" s="6"/>
      <c r="AI15" s="6"/>
      <c r="AM15" s="6"/>
      <c r="AQ15" s="6"/>
      <c r="AU15" s="6"/>
      <c r="AY15" s="6"/>
      <c r="BC15" s="6"/>
      <c r="BG15" s="6"/>
      <c r="BK15" s="6"/>
      <c r="BO15" s="6"/>
      <c r="BS15" s="6"/>
      <c r="BW15" s="6"/>
      <c r="CA15" s="6"/>
      <c r="CE15" s="6"/>
      <c r="CI15" s="6"/>
      <c r="CM15" s="6"/>
      <c r="CQ15" s="6"/>
      <c r="CU15" s="6"/>
      <c r="CY15" s="6"/>
      <c r="DC15" s="6"/>
      <c r="DG15" s="6"/>
      <c r="DK15" s="6"/>
      <c r="DO15" s="6"/>
      <c r="DS15" s="6"/>
      <c r="DW15" s="6"/>
      <c r="EA15" s="6"/>
      <c r="EE15" s="6"/>
      <c r="EI15" s="6"/>
      <c r="EM15" s="6"/>
      <c r="EQ15" s="6"/>
      <c r="EU15" s="6"/>
    </row>
    <row r="16" spans="1:195" x14ac:dyDescent="0.2">
      <c r="A16" s="13" t="s">
        <v>138</v>
      </c>
      <c r="B16" s="1">
        <v>2</v>
      </c>
      <c r="C16" s="6">
        <v>0.54861111111111105</v>
      </c>
      <c r="G16" s="6"/>
      <c r="K16" s="6"/>
      <c r="O16" s="6"/>
      <c r="S16" s="6"/>
      <c r="W16" s="6"/>
      <c r="AA16" s="6"/>
      <c r="AE16" s="6"/>
      <c r="AI16" s="6"/>
      <c r="AM16" s="6"/>
      <c r="AQ16" s="6"/>
      <c r="AU16" s="6"/>
      <c r="AY16" s="6"/>
      <c r="BC16" s="6"/>
      <c r="BG16" s="6"/>
      <c r="BK16" s="6"/>
      <c r="BO16" s="6"/>
      <c r="BS16" s="6"/>
      <c r="BW16" s="6"/>
      <c r="CA16" s="6"/>
      <c r="CE16" s="6"/>
      <c r="CI16" s="6"/>
      <c r="CM16" s="6"/>
      <c r="CQ16" s="6"/>
      <c r="CU16" s="6"/>
      <c r="CY16" s="6"/>
      <c r="DC16" s="6"/>
      <c r="DG16" s="6"/>
      <c r="DK16" s="6"/>
      <c r="DO16" s="6"/>
      <c r="DS16" s="6"/>
      <c r="DW16" s="6"/>
      <c r="EA16" s="6"/>
      <c r="EE16" s="6"/>
      <c r="EI16" s="6"/>
      <c r="EM16" s="6"/>
      <c r="EQ16" s="6"/>
      <c r="EU16" s="6"/>
    </row>
    <row r="17" spans="1:59" x14ac:dyDescent="0.2">
      <c r="A17" s="14"/>
      <c r="C17" s="12"/>
      <c r="G17" s="6"/>
      <c r="K17" s="6"/>
      <c r="O17" s="6"/>
      <c r="S17" s="6"/>
      <c r="W17" s="6"/>
      <c r="AA17" s="6"/>
      <c r="AE17" s="6"/>
      <c r="AI17" s="6"/>
      <c r="AM17" s="6"/>
      <c r="AQ17" s="6"/>
      <c r="AU17" s="6"/>
      <c r="AY17" s="6"/>
      <c r="BC17" s="6"/>
      <c r="BG17" s="6"/>
    </row>
    <row r="18" spans="1:59" x14ac:dyDescent="0.2">
      <c r="C18" s="6"/>
      <c r="G18" s="6"/>
      <c r="K18" s="6"/>
      <c r="O18" s="6"/>
      <c r="S18" s="6"/>
      <c r="W18" s="6"/>
      <c r="AA18" s="6"/>
      <c r="AE18" s="6"/>
      <c r="AI18" s="6"/>
      <c r="AM18" s="6"/>
      <c r="AQ18" s="6"/>
      <c r="AU18" s="6"/>
      <c r="AY18" s="6"/>
      <c r="BC18" s="6"/>
      <c r="BG18" s="6"/>
    </row>
    <row r="19" spans="1:59" x14ac:dyDescent="0.2">
      <c r="C19" s="6"/>
      <c r="G19" s="6"/>
      <c r="K19" s="6"/>
      <c r="O19" s="6"/>
      <c r="S19" s="6"/>
      <c r="W19" s="6"/>
      <c r="AA19" s="6"/>
      <c r="AE19" s="6"/>
      <c r="AI19" s="6"/>
      <c r="AM19" s="6"/>
      <c r="AQ19" s="6"/>
      <c r="AU19" s="6"/>
      <c r="AY19" s="6"/>
      <c r="BC19" s="6"/>
      <c r="BG19" s="6"/>
    </row>
    <row r="20" spans="1:59" x14ac:dyDescent="0.2">
      <c r="C20" s="6"/>
      <c r="G20" s="6"/>
      <c r="K20" s="6"/>
      <c r="O20" s="6"/>
      <c r="S20" s="6"/>
      <c r="W20" s="6"/>
      <c r="AA20" s="6"/>
      <c r="AE20" s="6"/>
      <c r="AI20" s="6"/>
      <c r="AM20" s="6"/>
      <c r="AQ20" s="6"/>
      <c r="AU20" s="6"/>
      <c r="AY20" s="6"/>
      <c r="BC20" s="6"/>
      <c r="BG20" s="6"/>
    </row>
    <row r="21" spans="1:59" x14ac:dyDescent="0.2">
      <c r="C21" s="6"/>
      <c r="G21" s="6"/>
      <c r="K21" s="6"/>
      <c r="O21" s="6"/>
      <c r="S21" s="6"/>
      <c r="W21" s="6"/>
      <c r="AA21" s="6"/>
      <c r="AE21" s="6"/>
      <c r="AI21" s="6"/>
      <c r="AM21" s="6"/>
      <c r="AQ21" s="6"/>
      <c r="AU21" s="6"/>
      <c r="AY21" s="6"/>
      <c r="BC21" s="6"/>
      <c r="BG21" s="6"/>
    </row>
    <row r="22" spans="1:59" x14ac:dyDescent="0.2">
      <c r="C22" s="6"/>
      <c r="G22" s="6"/>
      <c r="K22" s="6"/>
      <c r="O22" s="6"/>
      <c r="S22" s="6"/>
      <c r="W22" s="6"/>
      <c r="AA22" s="6"/>
      <c r="AE22" s="6"/>
      <c r="AI22" s="6"/>
      <c r="AM22" s="6"/>
      <c r="AQ22" s="6"/>
      <c r="AU22" s="6"/>
      <c r="AY22" s="6"/>
      <c r="BC22" s="6"/>
      <c r="BG22" s="6"/>
    </row>
    <row r="23" spans="1:59" x14ac:dyDescent="0.2">
      <c r="C23" s="6"/>
      <c r="G23" s="6"/>
      <c r="K23" s="6"/>
      <c r="O23" s="6"/>
      <c r="S23" s="6"/>
      <c r="W23" s="6"/>
      <c r="AA23" s="6"/>
      <c r="AE23" s="6"/>
      <c r="AI23" s="6"/>
      <c r="AM23" s="6"/>
      <c r="AQ23" s="6"/>
      <c r="AU23" s="6"/>
      <c r="AY23" s="6"/>
      <c r="BC23" s="6"/>
      <c r="BG23" s="6"/>
    </row>
    <row r="24" spans="1:59" x14ac:dyDescent="0.2">
      <c r="C24" s="6"/>
      <c r="G24" s="6"/>
      <c r="W24" s="6"/>
      <c r="AA24" s="6"/>
      <c r="AE24" s="6"/>
      <c r="AI24" s="6"/>
    </row>
    <row r="25" spans="1:59" x14ac:dyDescent="0.2">
      <c r="C25" s="6"/>
      <c r="G25" s="6"/>
      <c r="W25" s="6"/>
      <c r="AA25" s="6"/>
      <c r="AE25" s="6"/>
      <c r="AI25" s="6"/>
    </row>
    <row r="26" spans="1:59" x14ac:dyDescent="0.2">
      <c r="C26" s="6"/>
      <c r="G26" s="6"/>
    </row>
    <row r="27" spans="1:59" x14ac:dyDescent="0.2">
      <c r="C27" s="6"/>
      <c r="G27" s="6"/>
    </row>
    <row r="28" spans="1:59" x14ac:dyDescent="0.2">
      <c r="C28" s="6"/>
      <c r="G28" s="6"/>
    </row>
    <row r="29" spans="1:59" x14ac:dyDescent="0.2">
      <c r="C29" s="6"/>
      <c r="G29" s="6"/>
    </row>
    <row r="30" spans="1:59" x14ac:dyDescent="0.2">
      <c r="C30" s="6"/>
      <c r="G30" s="6"/>
    </row>
    <row r="31" spans="1:59" x14ac:dyDescent="0.2">
      <c r="C31" s="6"/>
      <c r="G31" s="6"/>
    </row>
  </sheetData>
  <phoneticPr fontId="4" type="noConversion"/>
  <pageMargins left="0.511811024" right="0.511811024" top="0.78740157499999996" bottom="0.78740157499999996" header="0.31496062000000002" footer="0.31496062000000002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EstaPastaDeTrabalho.fazer_horarios_out">
                <anchor moveWithCells="1" sizeWithCells="1">
                  <from>
                    <xdr:col>0</xdr:col>
                    <xdr:colOff>254000</xdr:colOff>
                    <xdr:row>18</xdr:row>
                    <xdr:rowOff>127000</xdr:rowOff>
                  </from>
                  <to>
                    <xdr:col>2</xdr:col>
                    <xdr:colOff>698500</xdr:colOff>
                    <xdr:row>22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BA381-E3E7-084A-A5FA-E2ECE366EAA0}">
  <sheetPr codeName="Planilha8"/>
  <dimension ref="A1:C129"/>
  <sheetViews>
    <sheetView showGridLines="0" tabSelected="1" zoomScale="192" workbookViewId="0">
      <pane ySplit="1" topLeftCell="A116" activePane="bottomLeft" state="frozen"/>
      <selection pane="bottomLeft" activeCell="A126" sqref="A126"/>
    </sheetView>
  </sheetViews>
  <sheetFormatPr baseColWidth="10" defaultRowHeight="15" x14ac:dyDescent="0.2"/>
  <cols>
    <col min="1" max="1" width="34.33203125" style="5" bestFit="1" customWidth="1"/>
    <col min="2" max="2" width="16.1640625" style="5" bestFit="1" customWidth="1"/>
    <col min="3" max="3" width="14" style="5" bestFit="1" customWidth="1"/>
    <col min="4" max="4" width="10.83203125" style="5"/>
    <col min="5" max="5" width="88.1640625" style="5" bestFit="1" customWidth="1"/>
    <col min="6" max="16384" width="10.83203125" style="5"/>
  </cols>
  <sheetData>
    <row r="1" spans="1:3" ht="16" x14ac:dyDescent="0.2">
      <c r="A1" s="25" t="s">
        <v>330</v>
      </c>
      <c r="B1" s="25" t="s">
        <v>18</v>
      </c>
      <c r="C1" s="25" t="s">
        <v>37</v>
      </c>
    </row>
    <row r="2" spans="1:3" ht="16" x14ac:dyDescent="0.2">
      <c r="A2" s="26" t="s">
        <v>51</v>
      </c>
      <c r="B2" s="26" t="s">
        <v>52</v>
      </c>
      <c r="C2" s="5">
        <v>1</v>
      </c>
    </row>
    <row r="3" spans="1:3" ht="16" x14ac:dyDescent="0.2">
      <c r="A3" s="26" t="s">
        <v>15</v>
      </c>
      <c r="B3" s="26" t="s">
        <v>10</v>
      </c>
      <c r="C3" s="5">
        <v>2</v>
      </c>
    </row>
    <row r="4" spans="1:3" ht="16" x14ac:dyDescent="0.2">
      <c r="A4" s="26" t="s">
        <v>53</v>
      </c>
      <c r="B4" s="26" t="s">
        <v>38</v>
      </c>
      <c r="C4" s="5">
        <v>3</v>
      </c>
    </row>
    <row r="5" spans="1:3" ht="16" x14ac:dyDescent="0.2">
      <c r="A5" s="5" t="s">
        <v>275</v>
      </c>
      <c r="B5" s="26" t="s">
        <v>38</v>
      </c>
      <c r="C5" s="5">
        <v>4</v>
      </c>
    </row>
    <row r="6" spans="1:3" ht="16" x14ac:dyDescent="0.2">
      <c r="A6" s="5" t="s">
        <v>276</v>
      </c>
      <c r="B6" s="26" t="s">
        <v>38</v>
      </c>
      <c r="C6" s="5">
        <v>5</v>
      </c>
    </row>
    <row r="7" spans="1:3" ht="16" x14ac:dyDescent="0.2">
      <c r="A7" s="26" t="s">
        <v>54</v>
      </c>
      <c r="B7" s="26" t="s">
        <v>38</v>
      </c>
      <c r="C7" s="5">
        <v>6</v>
      </c>
    </row>
    <row r="8" spans="1:3" ht="16" x14ac:dyDescent="0.2">
      <c r="A8" s="26" t="s">
        <v>7</v>
      </c>
      <c r="B8" s="26" t="s">
        <v>38</v>
      </c>
      <c r="C8" s="5">
        <v>7</v>
      </c>
    </row>
    <row r="9" spans="1:3" ht="16" x14ac:dyDescent="0.2">
      <c r="A9" s="26" t="s">
        <v>33</v>
      </c>
      <c r="B9" s="26" t="s">
        <v>38</v>
      </c>
      <c r="C9" s="5">
        <v>8</v>
      </c>
    </row>
    <row r="10" spans="1:3" ht="16" x14ac:dyDescent="0.2">
      <c r="A10" s="5" t="s">
        <v>334</v>
      </c>
      <c r="B10" s="26" t="s">
        <v>38</v>
      </c>
      <c r="C10" s="5">
        <v>9</v>
      </c>
    </row>
    <row r="11" spans="1:3" ht="16" x14ac:dyDescent="0.2">
      <c r="A11" s="5" t="s">
        <v>277</v>
      </c>
      <c r="B11" s="26" t="s">
        <v>38</v>
      </c>
      <c r="C11" s="5">
        <v>10</v>
      </c>
    </row>
    <row r="12" spans="1:3" ht="16" x14ac:dyDescent="0.2">
      <c r="A12" s="5" t="s">
        <v>278</v>
      </c>
      <c r="B12" s="26" t="s">
        <v>38</v>
      </c>
      <c r="C12" s="5">
        <v>11</v>
      </c>
    </row>
    <row r="13" spans="1:3" ht="16" x14ac:dyDescent="0.2">
      <c r="A13" s="26" t="s">
        <v>29</v>
      </c>
      <c r="B13" s="26" t="s">
        <v>38</v>
      </c>
      <c r="C13" s="5">
        <v>12</v>
      </c>
    </row>
    <row r="14" spans="1:3" ht="16" x14ac:dyDescent="0.2">
      <c r="A14" s="27" t="s">
        <v>279</v>
      </c>
      <c r="B14" s="26" t="s">
        <v>38</v>
      </c>
      <c r="C14" s="5">
        <v>13</v>
      </c>
    </row>
    <row r="15" spans="1:3" ht="16" x14ac:dyDescent="0.2">
      <c r="A15" s="5" t="s">
        <v>280</v>
      </c>
      <c r="B15" s="26" t="s">
        <v>38</v>
      </c>
      <c r="C15" s="5">
        <v>14</v>
      </c>
    </row>
    <row r="16" spans="1:3" ht="16" x14ac:dyDescent="0.2">
      <c r="A16" s="5" t="s">
        <v>281</v>
      </c>
      <c r="B16" s="26" t="s">
        <v>38</v>
      </c>
      <c r="C16" s="5">
        <v>15</v>
      </c>
    </row>
    <row r="17" spans="1:3" ht="16" x14ac:dyDescent="0.2">
      <c r="A17" s="27" t="s">
        <v>282</v>
      </c>
      <c r="B17" s="26" t="s">
        <v>38</v>
      </c>
      <c r="C17" s="5">
        <v>16</v>
      </c>
    </row>
    <row r="18" spans="1:3" ht="16" x14ac:dyDescent="0.2">
      <c r="A18" s="26" t="s">
        <v>8</v>
      </c>
      <c r="B18" s="26" t="s">
        <v>38</v>
      </c>
      <c r="C18" s="5">
        <v>17</v>
      </c>
    </row>
    <row r="19" spans="1:3" ht="16" x14ac:dyDescent="0.2">
      <c r="A19" s="26" t="s">
        <v>30</v>
      </c>
      <c r="B19" s="26" t="s">
        <v>38</v>
      </c>
      <c r="C19" s="5">
        <v>18</v>
      </c>
    </row>
    <row r="20" spans="1:3" ht="16" x14ac:dyDescent="0.2">
      <c r="A20" s="26" t="s">
        <v>55</v>
      </c>
      <c r="B20" s="26" t="s">
        <v>38</v>
      </c>
      <c r="C20" s="5">
        <v>19</v>
      </c>
    </row>
    <row r="21" spans="1:3" ht="16" x14ac:dyDescent="0.2">
      <c r="A21" s="27" t="s">
        <v>283</v>
      </c>
      <c r="B21" s="26" t="s">
        <v>38</v>
      </c>
      <c r="C21" s="5">
        <v>20</v>
      </c>
    </row>
    <row r="22" spans="1:3" ht="16" x14ac:dyDescent="0.2">
      <c r="A22" s="26" t="s">
        <v>31</v>
      </c>
      <c r="B22" s="26" t="s">
        <v>38</v>
      </c>
      <c r="C22" s="5">
        <v>21</v>
      </c>
    </row>
    <row r="23" spans="1:3" ht="16" x14ac:dyDescent="0.2">
      <c r="A23" s="5" t="s">
        <v>284</v>
      </c>
      <c r="B23" s="26" t="s">
        <v>38</v>
      </c>
      <c r="C23" s="5">
        <v>22</v>
      </c>
    </row>
    <row r="24" spans="1:3" ht="16" x14ac:dyDescent="0.2">
      <c r="A24" s="5" t="s">
        <v>332</v>
      </c>
      <c r="B24" s="26" t="s">
        <v>38</v>
      </c>
      <c r="C24" s="5">
        <v>23</v>
      </c>
    </row>
    <row r="25" spans="1:3" ht="16" x14ac:dyDescent="0.2">
      <c r="A25" s="26" t="s">
        <v>56</v>
      </c>
      <c r="B25" s="26" t="s">
        <v>38</v>
      </c>
      <c r="C25" s="5">
        <v>24</v>
      </c>
    </row>
    <row r="26" spans="1:3" ht="16" x14ac:dyDescent="0.2">
      <c r="A26" s="5" t="s">
        <v>285</v>
      </c>
      <c r="B26" s="26" t="s">
        <v>38</v>
      </c>
      <c r="C26" s="5">
        <v>25</v>
      </c>
    </row>
    <row r="27" spans="1:3" ht="16" x14ac:dyDescent="0.2">
      <c r="A27" s="26" t="s">
        <v>57</v>
      </c>
      <c r="B27" s="26" t="s">
        <v>38</v>
      </c>
      <c r="C27" s="5">
        <v>26</v>
      </c>
    </row>
    <row r="28" spans="1:3" ht="16" x14ac:dyDescent="0.2">
      <c r="A28" s="26" t="s">
        <v>9</v>
      </c>
      <c r="B28" s="26" t="s">
        <v>38</v>
      </c>
      <c r="C28" s="5">
        <v>27</v>
      </c>
    </row>
    <row r="29" spans="1:3" ht="16" x14ac:dyDescent="0.2">
      <c r="A29" s="26" t="s">
        <v>286</v>
      </c>
      <c r="B29" s="26" t="s">
        <v>38</v>
      </c>
      <c r="C29" s="5">
        <v>28</v>
      </c>
    </row>
    <row r="30" spans="1:3" ht="16" x14ac:dyDescent="0.2">
      <c r="A30" s="26" t="s">
        <v>58</v>
      </c>
      <c r="B30" s="26" t="s">
        <v>38</v>
      </c>
      <c r="C30" s="5">
        <v>29</v>
      </c>
    </row>
    <row r="31" spans="1:3" ht="16" x14ac:dyDescent="0.2">
      <c r="A31" s="27" t="s">
        <v>287</v>
      </c>
      <c r="B31" s="26" t="s">
        <v>38</v>
      </c>
      <c r="C31" s="5">
        <v>30</v>
      </c>
    </row>
    <row r="32" spans="1:3" ht="16" x14ac:dyDescent="0.2">
      <c r="A32" s="5" t="s">
        <v>336</v>
      </c>
      <c r="B32" s="26" t="s">
        <v>38</v>
      </c>
      <c r="C32" s="5">
        <v>31</v>
      </c>
    </row>
    <row r="33" spans="1:3" ht="16" x14ac:dyDescent="0.2">
      <c r="A33" s="26" t="s">
        <v>59</v>
      </c>
      <c r="B33" s="26" t="s">
        <v>38</v>
      </c>
      <c r="C33" s="5">
        <v>32</v>
      </c>
    </row>
    <row r="34" spans="1:3" ht="16" x14ac:dyDescent="0.2">
      <c r="A34" s="5" t="s">
        <v>288</v>
      </c>
      <c r="B34" s="26" t="s">
        <v>38</v>
      </c>
      <c r="C34" s="5">
        <v>33</v>
      </c>
    </row>
    <row r="35" spans="1:3" ht="16" x14ac:dyDescent="0.2">
      <c r="A35" s="26" t="s">
        <v>60</v>
      </c>
      <c r="B35" s="26" t="s">
        <v>38</v>
      </c>
      <c r="C35" s="5">
        <v>34</v>
      </c>
    </row>
    <row r="36" spans="1:3" ht="16" x14ac:dyDescent="0.2">
      <c r="A36" s="26" t="s">
        <v>32</v>
      </c>
      <c r="B36" s="26" t="s">
        <v>38</v>
      </c>
      <c r="C36" s="5">
        <v>35</v>
      </c>
    </row>
    <row r="37" spans="1:3" ht="16" x14ac:dyDescent="0.2">
      <c r="A37" s="26" t="s">
        <v>84</v>
      </c>
      <c r="B37" s="26" t="s">
        <v>38</v>
      </c>
      <c r="C37" s="5">
        <v>36</v>
      </c>
    </row>
    <row r="38" spans="1:3" ht="16" x14ac:dyDescent="0.2">
      <c r="A38" s="26" t="s">
        <v>289</v>
      </c>
      <c r="B38" s="26" t="s">
        <v>39</v>
      </c>
      <c r="C38" s="5">
        <v>37</v>
      </c>
    </row>
    <row r="39" spans="1:3" ht="16" x14ac:dyDescent="0.2">
      <c r="A39" s="5" t="s">
        <v>290</v>
      </c>
      <c r="B39" s="26" t="s">
        <v>39</v>
      </c>
      <c r="C39" s="5">
        <v>38</v>
      </c>
    </row>
    <row r="40" spans="1:3" ht="16" x14ac:dyDescent="0.2">
      <c r="A40" s="5" t="s">
        <v>291</v>
      </c>
      <c r="B40" s="26" t="s">
        <v>39</v>
      </c>
      <c r="C40" s="5">
        <v>39</v>
      </c>
    </row>
    <row r="41" spans="1:3" ht="16" x14ac:dyDescent="0.2">
      <c r="A41" s="26" t="s">
        <v>61</v>
      </c>
      <c r="B41" s="26" t="s">
        <v>39</v>
      </c>
      <c r="C41" s="5">
        <v>40</v>
      </c>
    </row>
    <row r="42" spans="1:3" ht="16" x14ac:dyDescent="0.2">
      <c r="A42" s="26" t="s">
        <v>62</v>
      </c>
      <c r="B42" s="26" t="s">
        <v>39</v>
      </c>
      <c r="C42" s="5">
        <v>41</v>
      </c>
    </row>
    <row r="43" spans="1:3" ht="16" x14ac:dyDescent="0.2">
      <c r="A43" s="5" t="s">
        <v>292</v>
      </c>
      <c r="B43" s="26" t="s">
        <v>39</v>
      </c>
      <c r="C43" s="5">
        <v>42</v>
      </c>
    </row>
    <row r="44" spans="1:3" ht="16" x14ac:dyDescent="0.2">
      <c r="A44" s="27" t="s">
        <v>293</v>
      </c>
      <c r="B44" s="26" t="s">
        <v>39</v>
      </c>
      <c r="C44" s="5">
        <v>43</v>
      </c>
    </row>
    <row r="45" spans="1:3" ht="16" x14ac:dyDescent="0.2">
      <c r="A45" s="5" t="s">
        <v>294</v>
      </c>
      <c r="B45" s="26" t="s">
        <v>39</v>
      </c>
      <c r="C45" s="5">
        <v>44</v>
      </c>
    </row>
    <row r="46" spans="1:3" ht="16" x14ac:dyDescent="0.2">
      <c r="A46" s="5" t="s">
        <v>339</v>
      </c>
      <c r="B46" s="26" t="s">
        <v>39</v>
      </c>
      <c r="C46" s="5">
        <v>45</v>
      </c>
    </row>
    <row r="47" spans="1:3" ht="16" x14ac:dyDescent="0.2">
      <c r="A47" s="27" t="s">
        <v>295</v>
      </c>
      <c r="B47" s="26" t="s">
        <v>39</v>
      </c>
      <c r="C47" s="5">
        <v>46</v>
      </c>
    </row>
    <row r="48" spans="1:3" ht="16" x14ac:dyDescent="0.2">
      <c r="A48" s="5" t="s">
        <v>338</v>
      </c>
      <c r="B48" s="26" t="s">
        <v>39</v>
      </c>
      <c r="C48" s="5">
        <v>47</v>
      </c>
    </row>
    <row r="49" spans="1:3" ht="16" x14ac:dyDescent="0.2">
      <c r="A49" s="5" t="s">
        <v>344</v>
      </c>
      <c r="B49" s="26" t="s">
        <v>39</v>
      </c>
      <c r="C49" s="5">
        <v>48</v>
      </c>
    </row>
    <row r="50" spans="1:3" ht="16" x14ac:dyDescent="0.2">
      <c r="A50" s="5" t="s">
        <v>296</v>
      </c>
      <c r="B50" s="26" t="s">
        <v>39</v>
      </c>
      <c r="C50" s="5">
        <v>49</v>
      </c>
    </row>
    <row r="51" spans="1:3" ht="16" x14ac:dyDescent="0.2">
      <c r="A51" s="5" t="s">
        <v>297</v>
      </c>
      <c r="B51" s="26" t="s">
        <v>39</v>
      </c>
      <c r="C51" s="5">
        <v>50</v>
      </c>
    </row>
    <row r="52" spans="1:3" ht="16" x14ac:dyDescent="0.2">
      <c r="A52" s="26" t="s">
        <v>63</v>
      </c>
      <c r="B52" s="26" t="s">
        <v>39</v>
      </c>
      <c r="C52" s="5">
        <v>51</v>
      </c>
    </row>
    <row r="53" spans="1:3" ht="16" x14ac:dyDescent="0.2">
      <c r="A53" s="26" t="s">
        <v>64</v>
      </c>
      <c r="B53" s="26" t="s">
        <v>39</v>
      </c>
      <c r="C53" s="5">
        <v>52</v>
      </c>
    </row>
    <row r="54" spans="1:3" ht="16" x14ac:dyDescent="0.2">
      <c r="A54" s="5" t="s">
        <v>335</v>
      </c>
      <c r="B54" s="26" t="s">
        <v>39</v>
      </c>
      <c r="C54" s="5">
        <v>53</v>
      </c>
    </row>
    <row r="55" spans="1:3" ht="16" x14ac:dyDescent="0.2">
      <c r="A55" s="5" t="s">
        <v>298</v>
      </c>
      <c r="B55" s="26" t="s">
        <v>39</v>
      </c>
      <c r="C55" s="5">
        <v>54</v>
      </c>
    </row>
    <row r="56" spans="1:3" ht="16" x14ac:dyDescent="0.2">
      <c r="A56" s="26" t="s">
        <v>5</v>
      </c>
      <c r="B56" s="26" t="s">
        <v>39</v>
      </c>
      <c r="C56" s="5">
        <v>55</v>
      </c>
    </row>
    <row r="57" spans="1:3" ht="16" x14ac:dyDescent="0.2">
      <c r="A57" s="26" t="s">
        <v>4</v>
      </c>
      <c r="B57" s="26" t="s">
        <v>39</v>
      </c>
      <c r="C57" s="5">
        <v>56</v>
      </c>
    </row>
    <row r="58" spans="1:3" ht="16" x14ac:dyDescent="0.2">
      <c r="A58" s="26" t="s">
        <v>6</v>
      </c>
      <c r="B58" s="26" t="s">
        <v>39</v>
      </c>
      <c r="C58" s="5">
        <v>57</v>
      </c>
    </row>
    <row r="59" spans="1:3" ht="16" x14ac:dyDescent="0.2">
      <c r="A59" s="26" t="s">
        <v>299</v>
      </c>
      <c r="B59" s="26" t="s">
        <v>39</v>
      </c>
      <c r="C59" s="5">
        <v>58</v>
      </c>
    </row>
    <row r="60" spans="1:3" ht="16" x14ac:dyDescent="0.2">
      <c r="A60" s="26" t="s">
        <v>27</v>
      </c>
      <c r="B60" s="26" t="s">
        <v>39</v>
      </c>
      <c r="C60" s="5">
        <v>59</v>
      </c>
    </row>
    <row r="61" spans="1:3" ht="16" x14ac:dyDescent="0.2">
      <c r="A61" s="5" t="s">
        <v>300</v>
      </c>
      <c r="B61" s="26" t="s">
        <v>39</v>
      </c>
      <c r="C61" s="5">
        <v>60</v>
      </c>
    </row>
    <row r="62" spans="1:3" ht="16" x14ac:dyDescent="0.2">
      <c r="A62" s="5" t="s">
        <v>301</v>
      </c>
      <c r="B62" s="26" t="s">
        <v>39</v>
      </c>
      <c r="C62" s="5">
        <v>61</v>
      </c>
    </row>
    <row r="63" spans="1:3" ht="16" x14ac:dyDescent="0.2">
      <c r="A63" s="5" t="s">
        <v>302</v>
      </c>
      <c r="B63" s="26" t="s">
        <v>39</v>
      </c>
      <c r="C63" s="5">
        <v>62</v>
      </c>
    </row>
    <row r="64" spans="1:3" ht="16" x14ac:dyDescent="0.2">
      <c r="A64" s="27" t="s">
        <v>303</v>
      </c>
      <c r="B64" s="26" t="s">
        <v>39</v>
      </c>
      <c r="C64" s="5">
        <v>63</v>
      </c>
    </row>
    <row r="65" spans="1:3" ht="16" x14ac:dyDescent="0.2">
      <c r="A65" s="5" t="s">
        <v>304</v>
      </c>
      <c r="B65" s="26" t="s">
        <v>39</v>
      </c>
      <c r="C65" s="5">
        <v>64</v>
      </c>
    </row>
    <row r="66" spans="1:3" ht="16" x14ac:dyDescent="0.2">
      <c r="A66" s="5" t="s">
        <v>305</v>
      </c>
      <c r="B66" s="26" t="s">
        <v>39</v>
      </c>
      <c r="C66" s="5">
        <v>65</v>
      </c>
    </row>
    <row r="67" spans="1:3" ht="16" x14ac:dyDescent="0.2">
      <c r="A67" s="26" t="s">
        <v>306</v>
      </c>
      <c r="B67" s="26" t="s">
        <v>39</v>
      </c>
      <c r="C67" s="5">
        <v>66</v>
      </c>
    </row>
    <row r="68" spans="1:3" ht="16" x14ac:dyDescent="0.2">
      <c r="A68" s="26" t="s">
        <v>85</v>
      </c>
      <c r="B68" s="26" t="s">
        <v>39</v>
      </c>
      <c r="C68" s="5">
        <v>67</v>
      </c>
    </row>
    <row r="69" spans="1:3" ht="16" x14ac:dyDescent="0.2">
      <c r="A69" s="5" t="s">
        <v>307</v>
      </c>
      <c r="B69" s="26" t="s">
        <v>39</v>
      </c>
      <c r="C69" s="5">
        <v>68</v>
      </c>
    </row>
    <row r="70" spans="1:3" ht="16" x14ac:dyDescent="0.2">
      <c r="A70" s="26" t="s">
        <v>28</v>
      </c>
      <c r="B70" s="26" t="s">
        <v>39</v>
      </c>
      <c r="C70" s="5">
        <v>69</v>
      </c>
    </row>
    <row r="71" spans="1:3" ht="16" x14ac:dyDescent="0.2">
      <c r="A71" s="26" t="s">
        <v>20</v>
      </c>
      <c r="B71" s="26" t="s">
        <v>39</v>
      </c>
      <c r="C71" s="5">
        <v>70</v>
      </c>
    </row>
    <row r="72" spans="1:3" ht="16" x14ac:dyDescent="0.2">
      <c r="A72" s="26" t="s">
        <v>65</v>
      </c>
      <c r="B72" s="26" t="s">
        <v>39</v>
      </c>
      <c r="C72" s="5">
        <v>71</v>
      </c>
    </row>
    <row r="73" spans="1:3" ht="16" x14ac:dyDescent="0.2">
      <c r="A73" s="27" t="s">
        <v>308</v>
      </c>
      <c r="B73" s="26" t="s">
        <v>40</v>
      </c>
      <c r="C73" s="5">
        <v>72</v>
      </c>
    </row>
    <row r="74" spans="1:3" ht="16" x14ac:dyDescent="0.2">
      <c r="A74" s="26" t="s">
        <v>66</v>
      </c>
      <c r="B74" s="26" t="s">
        <v>40</v>
      </c>
      <c r="C74" s="5">
        <v>73</v>
      </c>
    </row>
    <row r="75" spans="1:3" ht="16" x14ac:dyDescent="0.2">
      <c r="A75" s="26" t="s">
        <v>21</v>
      </c>
      <c r="B75" s="26" t="s">
        <v>40</v>
      </c>
      <c r="C75" s="5">
        <v>74</v>
      </c>
    </row>
    <row r="76" spans="1:3" ht="16" x14ac:dyDescent="0.2">
      <c r="A76" s="5" t="s">
        <v>309</v>
      </c>
      <c r="B76" s="26" t="s">
        <v>40</v>
      </c>
      <c r="C76" s="5">
        <v>75</v>
      </c>
    </row>
    <row r="77" spans="1:3" ht="16" x14ac:dyDescent="0.2">
      <c r="A77" s="5" t="s">
        <v>310</v>
      </c>
      <c r="B77" s="26" t="s">
        <v>40</v>
      </c>
      <c r="C77" s="5">
        <v>76</v>
      </c>
    </row>
    <row r="78" spans="1:3" ht="16" x14ac:dyDescent="0.2">
      <c r="A78" s="26" t="s">
        <v>67</v>
      </c>
      <c r="B78" s="26" t="s">
        <v>40</v>
      </c>
      <c r="C78" s="5">
        <v>77</v>
      </c>
    </row>
    <row r="79" spans="1:3" ht="16" x14ac:dyDescent="0.2">
      <c r="A79" s="26" t="s">
        <v>68</v>
      </c>
      <c r="B79" s="26" t="s">
        <v>40</v>
      </c>
      <c r="C79" s="5">
        <v>78</v>
      </c>
    </row>
    <row r="80" spans="1:3" ht="16" x14ac:dyDescent="0.2">
      <c r="A80" s="26" t="s">
        <v>86</v>
      </c>
      <c r="B80" s="26" t="s">
        <v>40</v>
      </c>
      <c r="C80" s="5">
        <v>79</v>
      </c>
    </row>
    <row r="81" spans="1:3" ht="16" x14ac:dyDescent="0.2">
      <c r="A81" s="26" t="s">
        <v>19</v>
      </c>
      <c r="B81" s="26" t="s">
        <v>40</v>
      </c>
      <c r="C81" s="5">
        <v>80</v>
      </c>
    </row>
    <row r="82" spans="1:3" ht="16" x14ac:dyDescent="0.2">
      <c r="A82" s="5" t="s">
        <v>311</v>
      </c>
      <c r="B82" s="26" t="s">
        <v>40</v>
      </c>
      <c r="C82" s="5">
        <v>81</v>
      </c>
    </row>
    <row r="83" spans="1:3" ht="16" x14ac:dyDescent="0.2">
      <c r="A83" s="26" t="s">
        <v>2</v>
      </c>
      <c r="B83" s="26" t="s">
        <v>40</v>
      </c>
      <c r="C83" s="5">
        <v>82</v>
      </c>
    </row>
    <row r="84" spans="1:3" ht="16" x14ac:dyDescent="0.2">
      <c r="A84" s="26" t="s">
        <v>69</v>
      </c>
      <c r="B84" s="26" t="s">
        <v>40</v>
      </c>
      <c r="C84" s="5">
        <v>83</v>
      </c>
    </row>
    <row r="85" spans="1:3" ht="16" x14ac:dyDescent="0.2">
      <c r="A85" s="26" t="s">
        <v>70</v>
      </c>
      <c r="B85" s="26" t="s">
        <v>40</v>
      </c>
      <c r="C85" s="5">
        <v>84</v>
      </c>
    </row>
    <row r="86" spans="1:3" ht="16" x14ac:dyDescent="0.2">
      <c r="A86" s="26" t="s">
        <v>26</v>
      </c>
      <c r="B86" s="26" t="s">
        <v>40</v>
      </c>
      <c r="C86" s="5">
        <v>85</v>
      </c>
    </row>
    <row r="87" spans="1:3" ht="16" x14ac:dyDescent="0.2">
      <c r="A87" s="26" t="s">
        <v>25</v>
      </c>
      <c r="B87" s="26" t="s">
        <v>40</v>
      </c>
      <c r="C87" s="5">
        <v>86</v>
      </c>
    </row>
    <row r="88" spans="1:3" ht="16" x14ac:dyDescent="0.2">
      <c r="A88" s="26" t="s">
        <v>3</v>
      </c>
      <c r="B88" s="26" t="s">
        <v>40</v>
      </c>
      <c r="C88" s="5">
        <v>87</v>
      </c>
    </row>
    <row r="89" spans="1:3" ht="16" x14ac:dyDescent="0.2">
      <c r="A89" s="26" t="s">
        <v>22</v>
      </c>
      <c r="B89" s="26" t="s">
        <v>40</v>
      </c>
      <c r="C89" s="5">
        <v>88</v>
      </c>
    </row>
    <row r="90" spans="1:3" ht="16" x14ac:dyDescent="0.2">
      <c r="A90" s="5" t="s">
        <v>333</v>
      </c>
      <c r="B90" s="26" t="s">
        <v>40</v>
      </c>
      <c r="C90" s="5">
        <v>89</v>
      </c>
    </row>
    <row r="91" spans="1:3" ht="16" x14ac:dyDescent="0.2">
      <c r="A91" s="26" t="s">
        <v>71</v>
      </c>
      <c r="B91" s="26" t="s">
        <v>40</v>
      </c>
      <c r="C91" s="5">
        <v>90</v>
      </c>
    </row>
    <row r="92" spans="1:3" ht="16" x14ac:dyDescent="0.2">
      <c r="A92" s="27" t="s">
        <v>312</v>
      </c>
      <c r="B92" s="26" t="s">
        <v>40</v>
      </c>
      <c r="C92" s="5">
        <v>91</v>
      </c>
    </row>
    <row r="93" spans="1:3" ht="16" x14ac:dyDescent="0.2">
      <c r="A93" s="5" t="s">
        <v>343</v>
      </c>
      <c r="B93" s="26" t="s">
        <v>40</v>
      </c>
      <c r="C93" s="5">
        <v>92</v>
      </c>
    </row>
    <row r="94" spans="1:3" ht="16" x14ac:dyDescent="0.2">
      <c r="A94" s="27" t="s">
        <v>313</v>
      </c>
      <c r="B94" s="26" t="s">
        <v>40</v>
      </c>
      <c r="C94" s="5">
        <v>93</v>
      </c>
    </row>
    <row r="95" spans="1:3" ht="16" x14ac:dyDescent="0.2">
      <c r="A95" s="26" t="s">
        <v>14</v>
      </c>
      <c r="B95" s="26" t="s">
        <v>40</v>
      </c>
      <c r="C95" s="5">
        <v>94</v>
      </c>
    </row>
    <row r="96" spans="1:3" ht="16" x14ac:dyDescent="0.2">
      <c r="A96" s="26" t="s">
        <v>24</v>
      </c>
      <c r="B96" s="26" t="s">
        <v>40</v>
      </c>
      <c r="C96" s="5">
        <v>95</v>
      </c>
    </row>
    <row r="97" spans="1:3" ht="16" x14ac:dyDescent="0.2">
      <c r="A97" s="5" t="s">
        <v>337</v>
      </c>
      <c r="B97" s="26" t="s">
        <v>40</v>
      </c>
      <c r="C97" s="5">
        <v>96</v>
      </c>
    </row>
    <row r="98" spans="1:3" ht="16" x14ac:dyDescent="0.2">
      <c r="A98" s="5" t="s">
        <v>314</v>
      </c>
      <c r="B98" s="26" t="s">
        <v>40</v>
      </c>
      <c r="C98" s="5">
        <v>97</v>
      </c>
    </row>
    <row r="99" spans="1:3" ht="16" x14ac:dyDescent="0.2">
      <c r="A99" s="26" t="s">
        <v>72</v>
      </c>
      <c r="B99" s="26" t="s">
        <v>40</v>
      </c>
      <c r="C99" s="5">
        <v>98</v>
      </c>
    </row>
    <row r="100" spans="1:3" ht="16" x14ac:dyDescent="0.2">
      <c r="A100" s="5" t="s">
        <v>315</v>
      </c>
      <c r="B100" s="26" t="s">
        <v>40</v>
      </c>
      <c r="C100" s="5">
        <v>99</v>
      </c>
    </row>
    <row r="101" spans="1:3" ht="16" x14ac:dyDescent="0.2">
      <c r="A101" s="5" t="s">
        <v>316</v>
      </c>
      <c r="B101" s="26" t="s">
        <v>40</v>
      </c>
      <c r="C101" s="5">
        <v>100</v>
      </c>
    </row>
    <row r="102" spans="1:3" ht="16" x14ac:dyDescent="0.2">
      <c r="A102" s="26" t="s">
        <v>23</v>
      </c>
      <c r="B102" s="26" t="s">
        <v>40</v>
      </c>
      <c r="C102" s="5">
        <v>101</v>
      </c>
    </row>
    <row r="103" spans="1:3" ht="16" x14ac:dyDescent="0.2">
      <c r="A103" s="26" t="s">
        <v>73</v>
      </c>
      <c r="B103" s="26" t="s">
        <v>40</v>
      </c>
      <c r="C103" s="5">
        <v>102</v>
      </c>
    </row>
    <row r="104" spans="1:3" ht="16" x14ac:dyDescent="0.2">
      <c r="A104" s="26" t="s">
        <v>74</v>
      </c>
      <c r="B104" s="26" t="s">
        <v>40</v>
      </c>
      <c r="C104" s="5">
        <v>103</v>
      </c>
    </row>
    <row r="105" spans="1:3" ht="16" x14ac:dyDescent="0.2">
      <c r="A105" s="26" t="s">
        <v>75</v>
      </c>
      <c r="B105" s="26" t="s">
        <v>40</v>
      </c>
      <c r="C105" s="5">
        <v>104</v>
      </c>
    </row>
    <row r="106" spans="1:3" ht="16" x14ac:dyDescent="0.2">
      <c r="A106" s="5" t="s">
        <v>317</v>
      </c>
      <c r="B106" s="26" t="s">
        <v>1</v>
      </c>
      <c r="C106" s="5">
        <v>105</v>
      </c>
    </row>
    <row r="107" spans="1:3" ht="16" x14ac:dyDescent="0.2">
      <c r="A107" s="26" t="s">
        <v>76</v>
      </c>
      <c r="B107" s="26" t="s">
        <v>1</v>
      </c>
      <c r="C107" s="5">
        <v>106</v>
      </c>
    </row>
    <row r="108" spans="1:3" ht="16" x14ac:dyDescent="0.2">
      <c r="A108" s="26" t="s">
        <v>318</v>
      </c>
      <c r="B108" s="26" t="s">
        <v>1</v>
      </c>
      <c r="C108" s="5">
        <v>107</v>
      </c>
    </row>
    <row r="109" spans="1:3" ht="16" x14ac:dyDescent="0.2">
      <c r="A109" s="26" t="s">
        <v>34</v>
      </c>
      <c r="B109" s="26" t="s">
        <v>1</v>
      </c>
      <c r="C109" s="5">
        <v>108</v>
      </c>
    </row>
    <row r="110" spans="1:3" ht="16" x14ac:dyDescent="0.2">
      <c r="A110" s="5" t="s">
        <v>319</v>
      </c>
      <c r="B110" s="26" t="s">
        <v>1</v>
      </c>
      <c r="C110" s="5">
        <v>109</v>
      </c>
    </row>
    <row r="111" spans="1:3" ht="16" x14ac:dyDescent="0.2">
      <c r="A111" s="26" t="s">
        <v>77</v>
      </c>
      <c r="B111" s="26" t="s">
        <v>1</v>
      </c>
      <c r="C111" s="5">
        <v>110</v>
      </c>
    </row>
    <row r="112" spans="1:3" ht="16" x14ac:dyDescent="0.2">
      <c r="A112" s="5" t="s">
        <v>340</v>
      </c>
      <c r="B112" s="26" t="s">
        <v>1</v>
      </c>
      <c r="C112" s="5">
        <v>111</v>
      </c>
    </row>
    <row r="113" spans="1:3" ht="16" x14ac:dyDescent="0.2">
      <c r="A113" s="5" t="s">
        <v>331</v>
      </c>
      <c r="B113" s="26" t="s">
        <v>1</v>
      </c>
      <c r="C113" s="5">
        <v>112</v>
      </c>
    </row>
    <row r="114" spans="1:3" ht="16" x14ac:dyDescent="0.2">
      <c r="A114" s="26" t="s">
        <v>78</v>
      </c>
      <c r="B114" s="26" t="s">
        <v>1</v>
      </c>
      <c r="C114" s="5">
        <v>113</v>
      </c>
    </row>
    <row r="115" spans="1:3" ht="16" x14ac:dyDescent="0.2">
      <c r="A115" s="26" t="s">
        <v>79</v>
      </c>
      <c r="B115" s="26" t="s">
        <v>1</v>
      </c>
      <c r="C115" s="5">
        <v>114</v>
      </c>
    </row>
    <row r="116" spans="1:3" ht="16" x14ac:dyDescent="0.2">
      <c r="A116" s="26" t="s">
        <v>80</v>
      </c>
      <c r="B116" s="26" t="s">
        <v>1</v>
      </c>
      <c r="C116" s="5">
        <v>115</v>
      </c>
    </row>
    <row r="117" spans="1:3" ht="16" x14ac:dyDescent="0.2">
      <c r="A117" s="26" t="s">
        <v>320</v>
      </c>
      <c r="B117" s="26" t="s">
        <v>0</v>
      </c>
      <c r="C117" s="5">
        <v>116</v>
      </c>
    </row>
    <row r="118" spans="1:3" ht="16" x14ac:dyDescent="0.2">
      <c r="A118" s="5" t="s">
        <v>321</v>
      </c>
      <c r="B118" s="26" t="s">
        <v>0</v>
      </c>
      <c r="C118" s="5">
        <v>117</v>
      </c>
    </row>
    <row r="119" spans="1:3" ht="16" x14ac:dyDescent="0.2">
      <c r="A119" s="26" t="s">
        <v>35</v>
      </c>
      <c r="B119" s="26" t="s">
        <v>0</v>
      </c>
      <c r="C119" s="5">
        <v>118</v>
      </c>
    </row>
    <row r="120" spans="1:3" ht="16" x14ac:dyDescent="0.2">
      <c r="A120" s="5" t="s">
        <v>345</v>
      </c>
      <c r="B120" s="26" t="s">
        <v>151</v>
      </c>
      <c r="C120" s="5">
        <v>119</v>
      </c>
    </row>
    <row r="121" spans="1:3" ht="16" x14ac:dyDescent="0.2">
      <c r="A121" s="5" t="s">
        <v>322</v>
      </c>
      <c r="B121" s="26" t="s">
        <v>152</v>
      </c>
      <c r="C121" s="5">
        <v>120</v>
      </c>
    </row>
    <row r="122" spans="1:3" ht="16" x14ac:dyDescent="0.2">
      <c r="A122" s="5" t="s">
        <v>323</v>
      </c>
      <c r="B122" s="26" t="s">
        <v>152</v>
      </c>
      <c r="C122" s="5">
        <v>121</v>
      </c>
    </row>
    <row r="123" spans="1:3" ht="16" x14ac:dyDescent="0.2">
      <c r="A123" s="5" t="s">
        <v>324</v>
      </c>
      <c r="B123" s="26" t="s">
        <v>152</v>
      </c>
      <c r="C123" s="5">
        <v>122</v>
      </c>
    </row>
    <row r="124" spans="1:3" ht="16" x14ac:dyDescent="0.2">
      <c r="A124" s="5" t="s">
        <v>325</v>
      </c>
      <c r="B124" s="26" t="s">
        <v>152</v>
      </c>
      <c r="C124" s="5">
        <v>123</v>
      </c>
    </row>
    <row r="125" spans="1:3" ht="16" x14ac:dyDescent="0.2">
      <c r="A125" s="5" t="s">
        <v>326</v>
      </c>
      <c r="B125" s="26" t="s">
        <v>152</v>
      </c>
      <c r="C125" s="5">
        <v>124</v>
      </c>
    </row>
    <row r="126" spans="1:3" ht="16" x14ac:dyDescent="0.2">
      <c r="A126" s="5" t="s">
        <v>327</v>
      </c>
      <c r="B126" s="26" t="s">
        <v>152</v>
      </c>
      <c r="C126" s="5">
        <v>125</v>
      </c>
    </row>
    <row r="127" spans="1:3" ht="16" x14ac:dyDescent="0.2">
      <c r="A127" s="5" t="s">
        <v>328</v>
      </c>
      <c r="B127" s="26" t="s">
        <v>152</v>
      </c>
      <c r="C127" s="5">
        <v>126</v>
      </c>
    </row>
    <row r="128" spans="1:3" ht="16" x14ac:dyDescent="0.2">
      <c r="A128" s="5" t="s">
        <v>329</v>
      </c>
      <c r="B128" s="26" t="s">
        <v>152</v>
      </c>
      <c r="C128" s="5">
        <v>127</v>
      </c>
    </row>
    <row r="129" spans="1:3" x14ac:dyDescent="0.2">
      <c r="A129" s="5" t="s">
        <v>341</v>
      </c>
      <c r="B129" s="5" t="s">
        <v>342</v>
      </c>
      <c r="C129" s="5">
        <v>128</v>
      </c>
    </row>
  </sheetData>
  <autoFilter ref="A1:C125" xr:uid="{A63BA381-E3E7-084A-A5FA-E2ECE366EAA0}"/>
  <sortState xmlns:xlrd2="http://schemas.microsoft.com/office/spreadsheetml/2017/richdata2" ref="A120:A128">
    <sortCondition ref="A120:A128"/>
  </sortState>
  <phoneticPr fontId="4" type="noConversion"/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Regras</vt:lpstr>
      <vt:lpstr>Voos</vt:lpstr>
      <vt:lpstr>BD - Phoenix Bruto</vt:lpstr>
      <vt:lpstr>BD - Phoenix</vt:lpstr>
      <vt:lpstr>Layout Horarios</vt:lpstr>
      <vt:lpstr>Hoteis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mcruzdelirafilho@gmail.com</cp:lastModifiedBy>
  <dcterms:created xsi:type="dcterms:W3CDTF">2022-10-25T17:02:50Z</dcterms:created>
  <dcterms:modified xsi:type="dcterms:W3CDTF">2024-08-27T20:00:22Z</dcterms:modified>
</cp:coreProperties>
</file>